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0" windowWidth="21570" windowHeight="7560" tabRatio="670" activeTab="1"/>
  </bookViews>
  <sheets>
    <sheet name="Projet 1" sheetId="1" r:id="rId1"/>
    <sheet name="Suivi" sheetId="6" r:id="rId2"/>
    <sheet name="Table" sheetId="5" state="hidden" r:id="rId3"/>
  </sheets>
  <definedNames>
    <definedName name="ouinon">Table!$D$1:$D$2</definedName>
    <definedName name="semaine">Table!$A$1:$B$7</definedName>
    <definedName name="_xlnm.Print_Area" localSheetId="0">'Projet 1'!$A$1:$BO$55</definedName>
    <definedName name="_xlnm.Print_Area" localSheetId="1">Tableau1[#All]</definedName>
  </definedNames>
  <calcPr calcId="124519"/>
</workbook>
</file>

<file path=xl/calcChain.xml><?xml version="1.0" encoding="utf-8"?>
<calcChain xmlns="http://schemas.openxmlformats.org/spreadsheetml/2006/main">
  <c r="F13" i="1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E11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E23" i="6"/>
  <c r="F11" i="1" l="1"/>
  <c r="G11" s="1"/>
  <c r="F12"/>
  <c r="D12"/>
  <c r="C12"/>
  <c r="B12"/>
  <c r="A12"/>
  <c r="E13" l="1"/>
  <c r="G13" s="1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2"/>
  <c r="G34" l="1"/>
  <c r="G35"/>
  <c r="G36"/>
  <c r="G37"/>
  <c r="G38"/>
  <c r="G39"/>
  <c r="G40"/>
  <c r="G41"/>
  <c r="H7"/>
  <c r="H8" l="1"/>
  <c r="I7"/>
  <c r="G27"/>
  <c r="G28"/>
  <c r="J7" l="1"/>
  <c r="I10"/>
  <c r="I9"/>
  <c r="I8" s="1"/>
  <c r="G29"/>
  <c r="G31"/>
  <c r="G32"/>
  <c r="G30"/>
  <c r="G33"/>
  <c r="G2"/>
  <c r="K7" l="1"/>
  <c r="J10"/>
  <c r="J9"/>
  <c r="J8" s="1"/>
  <c r="G12"/>
  <c r="G22"/>
  <c r="G24"/>
  <c r="G20"/>
  <c r="G23"/>
  <c r="G26"/>
  <c r="G25"/>
  <c r="G21"/>
  <c r="G19"/>
  <c r="G18"/>
  <c r="H9"/>
  <c r="L7" l="1"/>
  <c r="K10"/>
  <c r="K9"/>
  <c r="K8" s="1"/>
  <c r="G17"/>
  <c r="G15"/>
  <c r="G16"/>
  <c r="G14"/>
  <c r="H10"/>
  <c r="L10" l="1"/>
  <c r="L9"/>
  <c r="L8" s="1"/>
  <c r="M7"/>
  <c r="N7" l="1"/>
  <c r="M10"/>
  <c r="M9"/>
  <c r="M8" s="1"/>
  <c r="N9" l="1"/>
  <c r="N8" s="1"/>
  <c r="O7"/>
  <c r="N10"/>
  <c r="O9" l="1"/>
  <c r="O8" s="1"/>
  <c r="O10"/>
  <c r="P7"/>
  <c r="P9" l="1"/>
  <c r="P8" s="1"/>
  <c r="Q7"/>
  <c r="P10"/>
  <c r="Q10" l="1"/>
  <c r="Q9"/>
  <c r="Q8" s="1"/>
  <c r="R7"/>
  <c r="S7" l="1"/>
  <c r="R10"/>
  <c r="R9"/>
  <c r="R8" s="1"/>
  <c r="T7" l="1"/>
  <c r="S10"/>
  <c r="S9"/>
  <c r="S8" s="1"/>
  <c r="T9" l="1"/>
  <c r="T8" s="1"/>
  <c r="U7"/>
  <c r="T10"/>
  <c r="U10" l="1"/>
  <c r="U9"/>
  <c r="U8" s="1"/>
  <c r="V7"/>
  <c r="V9" l="1"/>
  <c r="V8" s="1"/>
  <c r="W7"/>
  <c r="V10"/>
  <c r="W9" l="1"/>
  <c r="W8" s="1"/>
  <c r="W10"/>
  <c r="X7"/>
  <c r="X10" l="1"/>
  <c r="X9"/>
  <c r="X8" s="1"/>
  <c r="Y7"/>
  <c r="Z7" l="1"/>
  <c r="Y10"/>
  <c r="Y9"/>
  <c r="Y8" s="1"/>
  <c r="Z9" l="1"/>
  <c r="Z8" s="1"/>
  <c r="AA7"/>
  <c r="Z10"/>
  <c r="AB7" l="1"/>
  <c r="AA9"/>
  <c r="AA8" s="1"/>
  <c r="AA10"/>
  <c r="AB10" l="1"/>
  <c r="AB9"/>
  <c r="AB8" s="1"/>
  <c r="AC7"/>
  <c r="AD7" l="1"/>
  <c r="AC10"/>
  <c r="AC9"/>
  <c r="AC8" s="1"/>
  <c r="AD9" l="1"/>
  <c r="AD8" s="1"/>
  <c r="AE7"/>
  <c r="AD10"/>
  <c r="AE9" l="1"/>
  <c r="AE8" s="1"/>
  <c r="AF7"/>
  <c r="AE10"/>
  <c r="AF10" l="1"/>
  <c r="AG7"/>
  <c r="AF9"/>
  <c r="AF8" s="1"/>
  <c r="AG10" l="1"/>
  <c r="AG9"/>
  <c r="AG8" s="1"/>
  <c r="AH7"/>
  <c r="AI7" l="1"/>
  <c r="AH10"/>
  <c r="AH9"/>
  <c r="AH8" s="1"/>
  <c r="AJ7" l="1"/>
  <c r="AI9"/>
  <c r="AI8" s="1"/>
  <c r="AI10"/>
  <c r="AJ10" l="1"/>
  <c r="AJ9"/>
  <c r="AJ8" s="1"/>
  <c r="AK7"/>
  <c r="AK10" l="1"/>
  <c r="AK9"/>
  <c r="AK8" s="1"/>
  <c r="AL7"/>
  <c r="AM7" l="1"/>
  <c r="AL10"/>
  <c r="AL9"/>
  <c r="AL8" s="1"/>
  <c r="AN7" l="1"/>
  <c r="AM10"/>
  <c r="AM9"/>
  <c r="AM8" s="1"/>
  <c r="AN9" l="1"/>
  <c r="AN8" s="1"/>
  <c r="AO7"/>
  <c r="AN10"/>
  <c r="AO10" l="1"/>
  <c r="AO9"/>
  <c r="AO8" s="1"/>
  <c r="AP7"/>
  <c r="AP9" l="1"/>
  <c r="AP8" s="1"/>
  <c r="AQ7"/>
  <c r="AP10"/>
  <c r="AR7" l="1"/>
  <c r="AQ9"/>
  <c r="AQ8" s="1"/>
  <c r="AQ10"/>
  <c r="AR10" l="1"/>
  <c r="AR9"/>
  <c r="AR8" s="1"/>
  <c r="AS7"/>
  <c r="AT7" l="1"/>
  <c r="AS10"/>
  <c r="AS9"/>
  <c r="AS8" s="1"/>
  <c r="AT9" l="1"/>
  <c r="AT8" s="1"/>
  <c r="AU7"/>
  <c r="AT10"/>
  <c r="AU9" l="1"/>
  <c r="AU8" s="1"/>
  <c r="AV7"/>
  <c r="AU10"/>
  <c r="AV10" l="1"/>
  <c r="AV9"/>
  <c r="AV8" s="1"/>
  <c r="AW7"/>
  <c r="AX7" l="1"/>
  <c r="AW10"/>
  <c r="AW9"/>
  <c r="AW8" s="1"/>
  <c r="AX9" l="1"/>
  <c r="AX8" s="1"/>
  <c r="AY7"/>
  <c r="AX10"/>
  <c r="AZ7" l="1"/>
  <c r="AY9"/>
  <c r="AY8" s="1"/>
  <c r="AY10"/>
  <c r="AZ10" l="1"/>
  <c r="AZ9"/>
  <c r="AZ8" s="1"/>
  <c r="BA7"/>
  <c r="BB7" l="1"/>
  <c r="BA10"/>
  <c r="BA9"/>
  <c r="BA8" s="1"/>
  <c r="BB9" l="1"/>
  <c r="BB8" s="1"/>
  <c r="BC7"/>
  <c r="BB10"/>
  <c r="BC9" l="1"/>
  <c r="BC8" s="1"/>
  <c r="BD7"/>
  <c r="BC10"/>
  <c r="BD10" l="1"/>
  <c r="BD9"/>
  <c r="BD8" s="1"/>
  <c r="BE7"/>
  <c r="BF7" l="1"/>
  <c r="BE10"/>
  <c r="BE9"/>
  <c r="BE8" s="1"/>
  <c r="BF9" l="1"/>
  <c r="BF8" s="1"/>
  <c r="BG7"/>
  <c r="BF10"/>
  <c r="BH7" l="1"/>
  <c r="BG9"/>
  <c r="BG8" s="1"/>
  <c r="BG10"/>
  <c r="BH10" l="1"/>
  <c r="BH9"/>
  <c r="BH8" s="1"/>
  <c r="BI7"/>
  <c r="BJ7" l="1"/>
  <c r="BI10"/>
  <c r="BI9"/>
  <c r="BI8" s="1"/>
  <c r="BJ9" l="1"/>
  <c r="BJ8" s="1"/>
  <c r="BK7"/>
  <c r="BJ10"/>
  <c r="BK9" l="1"/>
  <c r="BK8" s="1"/>
  <c r="BL7"/>
  <c r="BK10"/>
  <c r="BL10" l="1"/>
  <c r="BL9"/>
  <c r="BL8" s="1"/>
  <c r="BM7"/>
  <c r="BN7" l="1"/>
  <c r="BM10"/>
  <c r="BM9"/>
  <c r="BM8" s="1"/>
  <c r="BN9" l="1"/>
  <c r="BN8" s="1"/>
  <c r="BO7"/>
  <c r="BN10"/>
  <c r="BO9" l="1"/>
  <c r="BO8" s="1"/>
  <c r="BO10"/>
</calcChain>
</file>

<file path=xl/sharedStrings.xml><?xml version="1.0" encoding="utf-8"?>
<sst xmlns="http://schemas.openxmlformats.org/spreadsheetml/2006/main" count="107" uniqueCount="83">
  <si>
    <t>Projet</t>
  </si>
  <si>
    <t>Date de début</t>
  </si>
  <si>
    <t>Durée</t>
  </si>
  <si>
    <t>Date de fin</t>
  </si>
  <si>
    <t>L</t>
  </si>
  <si>
    <t>M</t>
  </si>
  <si>
    <t>J</t>
  </si>
  <si>
    <t>V</t>
  </si>
  <si>
    <t>S</t>
  </si>
  <si>
    <t>D</t>
  </si>
  <si>
    <t>Jours ouvrés uniquement</t>
  </si>
  <si>
    <t>OUI</t>
  </si>
  <si>
    <t>NON</t>
  </si>
  <si>
    <t>Détails du projet</t>
  </si>
  <si>
    <t>Chef de projet</t>
  </si>
  <si>
    <t>Tâches</t>
  </si>
  <si>
    <t>Réalisé</t>
  </si>
  <si>
    <t>Id sous-tâche</t>
  </si>
  <si>
    <t>Auteur</t>
  </si>
  <si>
    <t>Réel</t>
  </si>
  <si>
    <t>Commentaire</t>
  </si>
  <si>
    <t>a1</t>
  </si>
  <si>
    <t>Etude des documents</t>
  </si>
  <si>
    <t>a2</t>
  </si>
  <si>
    <t>Rédaction cahier des spécifications</t>
  </si>
  <si>
    <t>a3</t>
  </si>
  <si>
    <t>Création des écrans (Scénario)</t>
  </si>
  <si>
    <t>Diagramme de Gantt (suivi de projet)</t>
  </si>
  <si>
    <t>Corentin</t>
  </si>
  <si>
    <t>c1</t>
  </si>
  <si>
    <t>Zoning</t>
  </si>
  <si>
    <t>c2</t>
  </si>
  <si>
    <t>c3</t>
  </si>
  <si>
    <t>c4</t>
  </si>
  <si>
    <t>c5</t>
  </si>
  <si>
    <t>Maquette Mobile</t>
  </si>
  <si>
    <t>Rédaction charte graphique</t>
  </si>
  <si>
    <t>d1</t>
  </si>
  <si>
    <t>d2</t>
  </si>
  <si>
    <t>d3</t>
  </si>
  <si>
    <t>d4</t>
  </si>
  <si>
    <t>e1</t>
  </si>
  <si>
    <t>Mise en place environnement</t>
  </si>
  <si>
    <t>Rédaction documents développeur</t>
  </si>
  <si>
    <t>Rédaction guide utilisateur</t>
  </si>
  <si>
    <t>e2</t>
  </si>
  <si>
    <t xml:space="preserve">Structuration template </t>
  </si>
  <si>
    <t>Test sur appli terminée</t>
  </si>
  <si>
    <t>Rapport de veille</t>
  </si>
  <si>
    <t>Rédaction convention nommage/codage</t>
  </si>
  <si>
    <t>Création powerpoint</t>
  </si>
  <si>
    <t>Préparation soutenance</t>
  </si>
  <si>
    <t>Estimation</t>
  </si>
  <si>
    <t>Sous-tâches</t>
  </si>
  <si>
    <r>
      <t>Commentaires :</t>
    </r>
    <r>
      <rPr>
        <b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Le diagramme de Gantt permet d'avoir une première vue sur les jalons du projet. Le tableau de suivi quant à lui permet d'avoir une vue sur l'estimation des sous-tâches. Le tableau de suivi sert également à la création de fiche journalière. Il reprend une ligne entière pour créer un document unique à l'utilisateur.</t>
    </r>
  </si>
  <si>
    <t>CMS Prestashop</t>
  </si>
  <si>
    <t>Violeau/Beriot</t>
  </si>
  <si>
    <t xml:space="preserve">Réalisation Logo </t>
  </si>
  <si>
    <t xml:space="preserve">Intégration </t>
  </si>
  <si>
    <t xml:space="preserve">Test </t>
  </si>
  <si>
    <t>f1</t>
  </si>
  <si>
    <t>Le cahier comprend tous les documents utilent à la réalisation de l'application</t>
  </si>
  <si>
    <t>Gestion de projet avec fiches journalières</t>
  </si>
  <si>
    <t>Emplacement de chaque bloque sur les pages</t>
  </si>
  <si>
    <t>Maquette Large Desktop</t>
  </si>
  <si>
    <t>Documentation de la réalisation du module</t>
  </si>
  <si>
    <t xml:space="preserve">Adaptation du thème </t>
  </si>
  <si>
    <t>b1</t>
  </si>
  <si>
    <t>b2</t>
  </si>
  <si>
    <t>b3</t>
  </si>
  <si>
    <t>b4</t>
  </si>
  <si>
    <t>b5</t>
  </si>
  <si>
    <t>d5</t>
  </si>
  <si>
    <t>Développement module</t>
  </si>
  <si>
    <t>Alexandre</t>
  </si>
  <si>
    <t>Tous</t>
  </si>
  <si>
    <t>Explique le module</t>
  </si>
  <si>
    <t>Intégration du module</t>
  </si>
  <si>
    <t>Insertion de données</t>
  </si>
  <si>
    <t>Inertion prodruits et clients</t>
  </si>
  <si>
    <t>49jrs</t>
  </si>
  <si>
    <t>SEO / E-commerce (s'étale sur le projet) avec feedly.com</t>
  </si>
  <si>
    <t>Projet 3</t>
  </si>
</sst>
</file>

<file path=xl/styles.xml><?xml version="1.0" encoding="utf-8"?>
<styleSheet xmlns="http://schemas.openxmlformats.org/spreadsheetml/2006/main">
  <numFmts count="1">
    <numFmt numFmtId="164" formatCode="[$-40C]mmm\-yy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/>
  </cellStyleXfs>
  <cellXfs count="52">
    <xf numFmtId="0" fontId="0" fillId="0" borderId="0" xfId="0"/>
    <xf numFmtId="0" fontId="2" fillId="0" borderId="0" xfId="0" applyFont="1"/>
    <xf numFmtId="0" fontId="2" fillId="0" borderId="0" xfId="0" applyNumberFormat="1" applyFont="1"/>
    <xf numFmtId="14" fontId="2" fillId="0" borderId="0" xfId="0" applyNumberFormat="1" applyFont="1"/>
    <xf numFmtId="164" fontId="3" fillId="0" borderId="0" xfId="0" applyNumberFormat="1" applyFont="1" applyAlignment="1">
      <alignment horizontal="left"/>
    </xf>
    <xf numFmtId="164" fontId="3" fillId="0" borderId="1" xfId="0" applyNumberFormat="1" applyFont="1" applyBorder="1" applyAlignment="1">
      <alignment horizontal="left" textRotation="90"/>
    </xf>
    <xf numFmtId="164" fontId="3" fillId="0" borderId="0" xfId="0" applyNumberFormat="1" applyFont="1" applyAlignment="1">
      <alignment horizontal="left" textRotation="90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 vertical="top" textRotation="90"/>
    </xf>
    <xf numFmtId="0" fontId="2" fillId="0" borderId="2" xfId="0" applyNumberFormat="1" applyFont="1" applyBorder="1" applyAlignment="1">
      <alignment horizontal="center"/>
    </xf>
    <xf numFmtId="0" fontId="2" fillId="0" borderId="0" xfId="0" applyNumberFormat="1" applyFont="1" applyFill="1" applyAlignment="1">
      <alignment horizontal="center"/>
    </xf>
    <xf numFmtId="9" fontId="2" fillId="0" borderId="0" xfId="1" applyFont="1"/>
    <xf numFmtId="9" fontId="3" fillId="0" borderId="0" xfId="1" applyFont="1" applyAlignment="1">
      <alignment horizontal="left"/>
    </xf>
    <xf numFmtId="9" fontId="2" fillId="0" borderId="0" xfId="1" applyFont="1" applyAlignment="1">
      <alignment horizontal="left"/>
    </xf>
    <xf numFmtId="9" fontId="3" fillId="0" borderId="3" xfId="1" applyFont="1" applyFill="1" applyBorder="1" applyAlignment="1">
      <alignment horizontal="left" vertical="center" wrapText="1"/>
    </xf>
    <xf numFmtId="9" fontId="3" fillId="0" borderId="0" xfId="1" applyFont="1" applyBorder="1" applyAlignment="1">
      <alignment horizontal="left"/>
    </xf>
    <xf numFmtId="9" fontId="2" fillId="0" borderId="0" xfId="1" applyFont="1" applyBorder="1" applyAlignment="1">
      <alignment horizontal="left"/>
    </xf>
    <xf numFmtId="14" fontId="2" fillId="0" borderId="0" xfId="1" applyNumberFormat="1" applyFont="1" applyFill="1"/>
    <xf numFmtId="0" fontId="4" fillId="2" borderId="0" xfId="0" applyFont="1" applyFill="1" applyAlignment="1">
      <alignment horizontal="left"/>
    </xf>
    <xf numFmtId="0" fontId="4" fillId="2" borderId="0" xfId="0" applyFont="1" applyFill="1"/>
    <xf numFmtId="0" fontId="4" fillId="2" borderId="0" xfId="0" applyNumberFormat="1" applyFont="1" applyFill="1"/>
    <xf numFmtId="9" fontId="4" fillId="2" borderId="0" xfId="1" applyFont="1" applyFill="1"/>
    <xf numFmtId="0" fontId="7" fillId="0" borderId="0" xfId="0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7" xfId="0" applyFont="1" applyBorder="1" applyAlignment="1"/>
    <xf numFmtId="14" fontId="7" fillId="0" borderId="6" xfId="0" applyNumberFormat="1" applyFont="1" applyBorder="1" applyAlignment="1">
      <alignment horizontal="left"/>
    </xf>
    <xf numFmtId="9" fontId="4" fillId="2" borderId="0" xfId="1" applyFont="1" applyFill="1" applyBorder="1" applyAlignment="1">
      <alignment horizontal="left"/>
    </xf>
    <xf numFmtId="9" fontId="2" fillId="0" borderId="0" xfId="1" applyFont="1" applyFill="1" applyBorder="1" applyAlignment="1">
      <alignment horizontal="left"/>
    </xf>
    <xf numFmtId="0" fontId="7" fillId="0" borderId="8" xfId="0" applyFont="1" applyBorder="1" applyAlignment="1">
      <alignment horizontal="left"/>
    </xf>
    <xf numFmtId="14" fontId="2" fillId="0" borderId="0" xfId="0" quotePrefix="1" applyNumberFormat="1" applyFont="1" applyFill="1" applyAlignment="1">
      <alignment horizontal="left"/>
    </xf>
    <xf numFmtId="0" fontId="7" fillId="0" borderId="6" xfId="0" applyFont="1" applyBorder="1" applyAlignment="1">
      <alignment horizontal="left"/>
    </xf>
    <xf numFmtId="14" fontId="2" fillId="0" borderId="0" xfId="0" applyNumberFormat="1" applyFont="1" applyAlignment="1">
      <alignment horizontal="left"/>
    </xf>
    <xf numFmtId="14" fontId="0" fillId="0" borderId="0" xfId="0" applyNumberFormat="1"/>
    <xf numFmtId="9" fontId="0" fillId="0" borderId="0" xfId="0" applyNumberFormat="1"/>
    <xf numFmtId="14" fontId="4" fillId="2" borderId="0" xfId="0" applyNumberFormat="1" applyFont="1" applyFill="1" applyAlignment="1">
      <alignment horizontal="left"/>
    </xf>
    <xf numFmtId="9" fontId="3" fillId="0" borderId="2" xfId="1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3" fillId="0" borderId="2" xfId="0" applyNumberFormat="1" applyFont="1" applyFill="1" applyBorder="1" applyAlignment="1">
      <alignment horizontal="left" vertical="center" wrapText="1"/>
    </xf>
    <xf numFmtId="164" fontId="8" fillId="0" borderId="6" xfId="0" applyNumberFormat="1" applyFont="1" applyBorder="1" applyAlignment="1">
      <alignment horizontal="left" vertical="top" wrapText="1"/>
    </xf>
    <xf numFmtId="164" fontId="6" fillId="0" borderId="7" xfId="0" applyNumberFormat="1" applyFont="1" applyBorder="1" applyAlignment="1">
      <alignment horizontal="left" vertical="top" wrapText="1"/>
    </xf>
    <xf numFmtId="164" fontId="6" fillId="0" borderId="8" xfId="0" applyNumberFormat="1" applyFont="1" applyBorder="1" applyAlignment="1">
      <alignment horizontal="left" vertical="top" wrapText="1"/>
    </xf>
    <xf numFmtId="0" fontId="7" fillId="0" borderId="4" xfId="0" applyFont="1" applyBorder="1" applyAlignment="1">
      <alignment horizontal="left"/>
    </xf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6" fillId="0" borderId="4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0" fillId="0" borderId="0" xfId="0" applyBorder="1"/>
    <xf numFmtId="14" fontId="0" fillId="0" borderId="0" xfId="0" applyNumberFormat="1" applyBorder="1"/>
    <xf numFmtId="9" fontId="0" fillId="0" borderId="0" xfId="0" applyNumberFormat="1" applyBorder="1"/>
  </cellXfs>
  <cellStyles count="3">
    <cellStyle name="Normal" xfId="0" builtinId="0"/>
    <cellStyle name="Normal 2" xfId="2"/>
    <cellStyle name="Pourcentage" xfId="1" builtinId="5"/>
  </cellStyles>
  <dxfs count="26"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3" formatCode="0%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dd/mm/yyyy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>
        <left/>
        <right style="thin">
          <color theme="0" tint="-0.34998626667073579"/>
        </right>
        <top/>
        <bottom/>
        <vertical/>
        <horizontal/>
      </border>
    </dxf>
    <dxf>
      <border>
        <left/>
        <right style="thin">
          <color theme="0" tint="-0.34998626667073579"/>
        </right>
        <top/>
        <bottom/>
        <vertical/>
        <horizontal/>
      </border>
    </dxf>
    <dxf>
      <numFmt numFmtId="13" formatCode="0%"/>
    </dxf>
    <dxf>
      <numFmt numFmtId="19" formatCode="dd/mm/yyyy"/>
    </dxf>
    <dxf>
      <font>
        <color theme="0"/>
      </font>
      <fill>
        <gradientFill degree="270">
          <stop position="0">
            <color theme="0"/>
          </stop>
          <stop position="1">
            <color theme="5" tint="0.40000610370189521"/>
          </stop>
        </gradientFill>
      </fill>
      <border>
        <left/>
        <right/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4"/>
          </stop>
        </gradientFill>
      </fill>
      <border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6"/>
          </stop>
        </gradientFill>
      </fill>
      <border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  <fill>
        <gradientFill degree="270">
          <stop position="0">
            <color theme="0"/>
          </stop>
          <stop position="1">
            <color theme="5" tint="0.40000610370189521"/>
          </stop>
        </gradientFill>
      </fill>
      <border>
        <left/>
        <right/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4"/>
          </stop>
        </gradientFill>
      </fill>
      <border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0"/>
          </stop>
          <stop position="1">
            <color theme="6"/>
          </stop>
        </gradientFill>
      </fill>
      <border>
        <top style="thin">
          <color auto="1"/>
        </top>
        <bottom style="thin">
          <color auto="1"/>
        </bottom>
      </border>
    </dxf>
    <dxf>
      <font>
        <color theme="0"/>
      </font>
    </dxf>
    <dxf>
      <border>
        <left style="thin">
          <color rgb="FFFF0000"/>
        </left>
        <vertical/>
        <horizontal/>
      </border>
    </dxf>
    <dxf>
      <border>
        <left/>
        <right style="thin">
          <color theme="0" tint="-0.34998626667073579"/>
        </right>
        <top/>
        <bottom/>
        <vertical/>
        <horizontal/>
      </border>
    </dxf>
    <dxf>
      <border>
        <left style="thin">
          <color theme="1" tint="0.499984740745262"/>
        </left>
        <vertical/>
        <horizontal/>
      </border>
    </dxf>
    <dxf>
      <font>
        <color theme="0"/>
      </font>
    </dxf>
    <dxf>
      <border>
        <left style="thin">
          <color theme="0" tint="-0.34998626667073579"/>
        </left>
        <vertical/>
        <horizontal/>
      </border>
    </dxf>
  </dxfs>
  <tableStyles count="0" defaultTableStyle="TableStyleMedium2" defaultPivotStyle="PivotStyleLight16"/>
  <colors>
    <mruColors>
      <color rgb="FFFF7575"/>
      <color rgb="FFFC4653"/>
      <color rgb="FFD07C7A"/>
      <color rgb="FFA7C46E"/>
      <color rgb="FF88E8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au1" displayName="Tableau1" ref="A1:I23" totalsRowCount="1">
  <autoFilter ref="A1:I23"/>
  <tableColumns count="9">
    <tableColumn id="3" name="Id sous-tâche" totalsRowDxfId="8"/>
    <tableColumn id="4" name="Sous-tâches" totalsRowDxfId="7"/>
    <tableColumn id="5" name="Auteur" totalsRowDxfId="6"/>
    <tableColumn id="6" name="Date de début" dataDxfId="12" totalsRowDxfId="5"/>
    <tableColumn id="7" name="Durée" totalsRowFunction="custom" totalsRowDxfId="4">
      <totalsRowFormula>SUM(E2:E22)</totalsRowFormula>
    </tableColumn>
    <tableColumn id="8" name="Réalisé" dataDxfId="11" totalsRowDxfId="3"/>
    <tableColumn id="9" name="Estimation" totalsRowDxfId="2"/>
    <tableColumn id="10" name="Réel" totalsRowDxfId="1"/>
    <tableColumn id="11" name="Commentaire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tabColor rgb="FFFF0000"/>
    <pageSetUpPr fitToPage="1"/>
  </sheetPr>
  <dimension ref="A1:BO99"/>
  <sheetViews>
    <sheetView showGridLines="0" zoomScale="90" zoomScaleNormal="90" workbookViewId="0">
      <pane ySplit="10" topLeftCell="A11" activePane="bottomLeft" state="frozen"/>
      <selection pane="bottomLeft" activeCell="AC25" sqref="AC9:AC25"/>
    </sheetView>
  </sheetViews>
  <sheetFormatPr baseColWidth="10" defaultColWidth="11" defaultRowHeight="11.25"/>
  <cols>
    <col min="1" max="1" width="4" style="7" bestFit="1" customWidth="1"/>
    <col min="2" max="2" width="16.28515625" style="1" customWidth="1"/>
    <col min="3" max="3" width="11.85546875" style="7" customWidth="1"/>
    <col min="4" max="4" width="5.5703125" style="2" customWidth="1"/>
    <col min="5" max="5" width="11" style="7" bestFit="1" customWidth="1"/>
    <col min="6" max="6" width="6.42578125" style="17" customWidth="1"/>
    <col min="7" max="7" width="5.42578125" style="12" hidden="1" customWidth="1"/>
    <col min="8" max="67" width="2.5703125" style="1" customWidth="1"/>
    <col min="68" max="16384" width="11" style="1"/>
  </cols>
  <sheetData>
    <row r="1" spans="1:67" ht="15">
      <c r="A1" s="44" t="s">
        <v>13</v>
      </c>
      <c r="B1" s="44"/>
      <c r="C1" s="45"/>
      <c r="D1" s="45"/>
      <c r="E1" s="45"/>
      <c r="G1" s="1">
        <v>0</v>
      </c>
    </row>
    <row r="2" spans="1:67" ht="12">
      <c r="A2" s="46" t="s">
        <v>0</v>
      </c>
      <c r="B2" s="46"/>
      <c r="C2" s="43" t="s">
        <v>55</v>
      </c>
      <c r="D2" s="43"/>
      <c r="E2" s="43"/>
      <c r="G2" s="3">
        <f ca="1">TODAY()</f>
        <v>42840</v>
      </c>
    </row>
    <row r="3" spans="1:67" ht="12">
      <c r="A3" s="46" t="s">
        <v>14</v>
      </c>
      <c r="B3" s="46"/>
      <c r="C3" s="43" t="s">
        <v>56</v>
      </c>
      <c r="D3" s="43"/>
      <c r="E3" s="43"/>
      <c r="G3" s="3"/>
    </row>
    <row r="4" spans="1:67" ht="10.5" customHeight="1">
      <c r="A4" s="47"/>
      <c r="B4" s="48"/>
      <c r="C4" s="23"/>
      <c r="D4" s="24"/>
      <c r="E4" s="25"/>
      <c r="G4" s="3"/>
    </row>
    <row r="5" spans="1:67" ht="12">
      <c r="A5" s="46" t="s">
        <v>10</v>
      </c>
      <c r="B5" s="46"/>
      <c r="C5" s="32" t="s">
        <v>12</v>
      </c>
      <c r="D5" s="26"/>
      <c r="E5" s="30"/>
      <c r="G5" s="3"/>
    </row>
    <row r="6" spans="1:67" ht="12">
      <c r="A6" s="46" t="s">
        <v>1</v>
      </c>
      <c r="B6" s="46"/>
      <c r="C6" s="27">
        <v>42802</v>
      </c>
      <c r="D6" s="26"/>
      <c r="E6" s="30"/>
      <c r="G6" s="3"/>
    </row>
    <row r="7" spans="1:67" s="4" customFormat="1" ht="81" customHeight="1">
      <c r="A7" s="40" t="s">
        <v>54</v>
      </c>
      <c r="B7" s="41"/>
      <c r="C7" s="41"/>
      <c r="D7" s="41"/>
      <c r="E7" s="42"/>
      <c r="F7" s="16"/>
      <c r="G7" s="13"/>
      <c r="H7" s="5">
        <f>C6+G1</f>
        <v>42802</v>
      </c>
      <c r="I7" s="6">
        <f>H7+1</f>
        <v>42803</v>
      </c>
      <c r="J7" s="6">
        <f t="shared" ref="J7:BO7" si="0">I7+1</f>
        <v>42804</v>
      </c>
      <c r="K7" s="6">
        <f t="shared" si="0"/>
        <v>42805</v>
      </c>
      <c r="L7" s="6">
        <f t="shared" si="0"/>
        <v>42806</v>
      </c>
      <c r="M7" s="6">
        <f t="shared" si="0"/>
        <v>42807</v>
      </c>
      <c r="N7" s="6">
        <f t="shared" si="0"/>
        <v>42808</v>
      </c>
      <c r="O7" s="6">
        <f t="shared" si="0"/>
        <v>42809</v>
      </c>
      <c r="P7" s="6">
        <f t="shared" si="0"/>
        <v>42810</v>
      </c>
      <c r="Q7" s="6">
        <f t="shared" si="0"/>
        <v>42811</v>
      </c>
      <c r="R7" s="6">
        <f t="shared" si="0"/>
        <v>42812</v>
      </c>
      <c r="S7" s="6">
        <f t="shared" si="0"/>
        <v>42813</v>
      </c>
      <c r="T7" s="6">
        <f t="shared" si="0"/>
        <v>42814</v>
      </c>
      <c r="U7" s="6">
        <f t="shared" si="0"/>
        <v>42815</v>
      </c>
      <c r="V7" s="6">
        <f t="shared" si="0"/>
        <v>42816</v>
      </c>
      <c r="W7" s="6">
        <f t="shared" si="0"/>
        <v>42817</v>
      </c>
      <c r="X7" s="6">
        <f t="shared" si="0"/>
        <v>42818</v>
      </c>
      <c r="Y7" s="6">
        <f t="shared" si="0"/>
        <v>42819</v>
      </c>
      <c r="Z7" s="6">
        <f t="shared" si="0"/>
        <v>42820</v>
      </c>
      <c r="AA7" s="6">
        <f t="shared" si="0"/>
        <v>42821</v>
      </c>
      <c r="AB7" s="6">
        <f t="shared" si="0"/>
        <v>42822</v>
      </c>
      <c r="AC7" s="6">
        <f t="shared" si="0"/>
        <v>42823</v>
      </c>
      <c r="AD7" s="6">
        <f t="shared" si="0"/>
        <v>42824</v>
      </c>
      <c r="AE7" s="6">
        <f t="shared" si="0"/>
        <v>42825</v>
      </c>
      <c r="AF7" s="6">
        <f t="shared" si="0"/>
        <v>42826</v>
      </c>
      <c r="AG7" s="6">
        <f t="shared" si="0"/>
        <v>42827</v>
      </c>
      <c r="AH7" s="6">
        <f t="shared" si="0"/>
        <v>42828</v>
      </c>
      <c r="AI7" s="6">
        <f t="shared" si="0"/>
        <v>42829</v>
      </c>
      <c r="AJ7" s="6">
        <f t="shared" si="0"/>
        <v>42830</v>
      </c>
      <c r="AK7" s="6">
        <f t="shared" si="0"/>
        <v>42831</v>
      </c>
      <c r="AL7" s="6">
        <f t="shared" si="0"/>
        <v>42832</v>
      </c>
      <c r="AM7" s="6">
        <f t="shared" si="0"/>
        <v>42833</v>
      </c>
      <c r="AN7" s="6">
        <f t="shared" si="0"/>
        <v>42834</v>
      </c>
      <c r="AO7" s="6">
        <f t="shared" si="0"/>
        <v>42835</v>
      </c>
      <c r="AP7" s="6">
        <f t="shared" si="0"/>
        <v>42836</v>
      </c>
      <c r="AQ7" s="6">
        <f t="shared" si="0"/>
        <v>42837</v>
      </c>
      <c r="AR7" s="6">
        <f t="shared" si="0"/>
        <v>42838</v>
      </c>
      <c r="AS7" s="6">
        <f t="shared" si="0"/>
        <v>42839</v>
      </c>
      <c r="AT7" s="6">
        <f t="shared" si="0"/>
        <v>42840</v>
      </c>
      <c r="AU7" s="6">
        <f t="shared" si="0"/>
        <v>42841</v>
      </c>
      <c r="AV7" s="6">
        <f t="shared" si="0"/>
        <v>42842</v>
      </c>
      <c r="AW7" s="6">
        <f t="shared" si="0"/>
        <v>42843</v>
      </c>
      <c r="AX7" s="6">
        <f t="shared" si="0"/>
        <v>42844</v>
      </c>
      <c r="AY7" s="6">
        <f t="shared" si="0"/>
        <v>42845</v>
      </c>
      <c r="AZ7" s="6">
        <f t="shared" si="0"/>
        <v>42846</v>
      </c>
      <c r="BA7" s="6">
        <f t="shared" si="0"/>
        <v>42847</v>
      </c>
      <c r="BB7" s="6">
        <f t="shared" si="0"/>
        <v>42848</v>
      </c>
      <c r="BC7" s="6">
        <f t="shared" si="0"/>
        <v>42849</v>
      </c>
      <c r="BD7" s="6">
        <f t="shared" si="0"/>
        <v>42850</v>
      </c>
      <c r="BE7" s="6">
        <f t="shared" si="0"/>
        <v>42851</v>
      </c>
      <c r="BF7" s="6">
        <f t="shared" si="0"/>
        <v>42852</v>
      </c>
      <c r="BG7" s="6">
        <f t="shared" si="0"/>
        <v>42853</v>
      </c>
      <c r="BH7" s="6">
        <f t="shared" si="0"/>
        <v>42854</v>
      </c>
      <c r="BI7" s="6">
        <f t="shared" si="0"/>
        <v>42855</v>
      </c>
      <c r="BJ7" s="6">
        <f t="shared" si="0"/>
        <v>42856</v>
      </c>
      <c r="BK7" s="6">
        <f t="shared" si="0"/>
        <v>42857</v>
      </c>
      <c r="BL7" s="6">
        <f t="shared" si="0"/>
        <v>42858</v>
      </c>
      <c r="BM7" s="6">
        <f t="shared" si="0"/>
        <v>42859</v>
      </c>
      <c r="BN7" s="6">
        <f t="shared" si="0"/>
        <v>42860</v>
      </c>
      <c r="BO7" s="6">
        <f t="shared" si="0"/>
        <v>42861</v>
      </c>
    </row>
    <row r="8" spans="1:67" s="7" customFormat="1" ht="28.5" customHeight="1">
      <c r="D8" s="8"/>
      <c r="F8" s="17"/>
      <c r="G8" s="14"/>
      <c r="H8" s="9" t="str">
        <f>"S "&amp;WEEKNUM(H7,2)</f>
        <v>S 11</v>
      </c>
      <c r="I8" s="9" t="str">
        <f t="shared" ref="I8" si="1">IF(I9="L","S "&amp;WEEKNUM(I7,2),"")</f>
        <v/>
      </c>
      <c r="J8" s="9" t="str">
        <f t="shared" ref="J8:BO8" si="2">IF(J9="L","S "&amp;WEEKNUM(J7,2),"")</f>
        <v/>
      </c>
      <c r="K8" s="9" t="str">
        <f t="shared" si="2"/>
        <v/>
      </c>
      <c r="L8" s="9" t="str">
        <f t="shared" si="2"/>
        <v/>
      </c>
      <c r="M8" s="9" t="str">
        <f t="shared" si="2"/>
        <v>S 12</v>
      </c>
      <c r="N8" s="9" t="str">
        <f t="shared" si="2"/>
        <v/>
      </c>
      <c r="O8" s="9" t="str">
        <f t="shared" si="2"/>
        <v/>
      </c>
      <c r="P8" s="9" t="str">
        <f t="shared" si="2"/>
        <v/>
      </c>
      <c r="Q8" s="9" t="str">
        <f t="shared" si="2"/>
        <v/>
      </c>
      <c r="R8" s="9" t="str">
        <f t="shared" si="2"/>
        <v/>
      </c>
      <c r="S8" s="9" t="str">
        <f t="shared" si="2"/>
        <v/>
      </c>
      <c r="T8" s="9" t="str">
        <f t="shared" si="2"/>
        <v>S 13</v>
      </c>
      <c r="U8" s="9" t="str">
        <f t="shared" si="2"/>
        <v/>
      </c>
      <c r="V8" s="9" t="str">
        <f t="shared" si="2"/>
        <v/>
      </c>
      <c r="W8" s="9" t="str">
        <f t="shared" si="2"/>
        <v/>
      </c>
      <c r="X8" s="9" t="str">
        <f t="shared" si="2"/>
        <v/>
      </c>
      <c r="Y8" s="9" t="str">
        <f t="shared" si="2"/>
        <v/>
      </c>
      <c r="Z8" s="9" t="str">
        <f t="shared" si="2"/>
        <v/>
      </c>
      <c r="AA8" s="9" t="str">
        <f t="shared" si="2"/>
        <v>S 14</v>
      </c>
      <c r="AB8" s="9" t="str">
        <f t="shared" si="2"/>
        <v/>
      </c>
      <c r="AC8" s="9" t="str">
        <f t="shared" si="2"/>
        <v/>
      </c>
      <c r="AD8" s="9" t="str">
        <f t="shared" si="2"/>
        <v/>
      </c>
      <c r="AE8" s="9" t="str">
        <f t="shared" si="2"/>
        <v/>
      </c>
      <c r="AF8" s="9" t="str">
        <f t="shared" si="2"/>
        <v/>
      </c>
      <c r="AG8" s="9" t="str">
        <f t="shared" si="2"/>
        <v/>
      </c>
      <c r="AH8" s="9" t="str">
        <f t="shared" si="2"/>
        <v>S 15</v>
      </c>
      <c r="AI8" s="9" t="str">
        <f t="shared" si="2"/>
        <v/>
      </c>
      <c r="AJ8" s="9" t="str">
        <f t="shared" si="2"/>
        <v/>
      </c>
      <c r="AK8" s="9" t="str">
        <f t="shared" si="2"/>
        <v/>
      </c>
      <c r="AL8" s="9" t="str">
        <f t="shared" si="2"/>
        <v/>
      </c>
      <c r="AM8" s="9" t="str">
        <f t="shared" si="2"/>
        <v/>
      </c>
      <c r="AN8" s="9" t="str">
        <f t="shared" si="2"/>
        <v/>
      </c>
      <c r="AO8" s="9" t="str">
        <f t="shared" si="2"/>
        <v>S 16</v>
      </c>
      <c r="AP8" s="9" t="str">
        <f t="shared" si="2"/>
        <v/>
      </c>
      <c r="AQ8" s="9" t="str">
        <f t="shared" si="2"/>
        <v/>
      </c>
      <c r="AR8" s="9" t="str">
        <f t="shared" si="2"/>
        <v/>
      </c>
      <c r="AS8" s="9" t="str">
        <f t="shared" si="2"/>
        <v/>
      </c>
      <c r="AT8" s="9" t="str">
        <f t="shared" si="2"/>
        <v/>
      </c>
      <c r="AU8" s="9" t="str">
        <f t="shared" si="2"/>
        <v/>
      </c>
      <c r="AV8" s="9" t="str">
        <f t="shared" si="2"/>
        <v>S 17</v>
      </c>
      <c r="AW8" s="9" t="str">
        <f t="shared" si="2"/>
        <v/>
      </c>
      <c r="AX8" s="9" t="str">
        <f t="shared" si="2"/>
        <v/>
      </c>
      <c r="AY8" s="9" t="str">
        <f t="shared" si="2"/>
        <v/>
      </c>
      <c r="AZ8" s="9" t="str">
        <f t="shared" si="2"/>
        <v/>
      </c>
      <c r="BA8" s="9" t="str">
        <f t="shared" si="2"/>
        <v/>
      </c>
      <c r="BB8" s="9" t="str">
        <f t="shared" si="2"/>
        <v/>
      </c>
      <c r="BC8" s="9" t="str">
        <f t="shared" si="2"/>
        <v>S 18</v>
      </c>
      <c r="BD8" s="9" t="str">
        <f t="shared" si="2"/>
        <v/>
      </c>
      <c r="BE8" s="9" t="str">
        <f t="shared" si="2"/>
        <v/>
      </c>
      <c r="BF8" s="9" t="str">
        <f t="shared" si="2"/>
        <v/>
      </c>
      <c r="BG8" s="9" t="str">
        <f t="shared" si="2"/>
        <v/>
      </c>
      <c r="BH8" s="9" t="str">
        <f t="shared" si="2"/>
        <v/>
      </c>
      <c r="BI8" s="9" t="str">
        <f t="shared" si="2"/>
        <v/>
      </c>
      <c r="BJ8" s="9" t="str">
        <f t="shared" si="2"/>
        <v>S 19</v>
      </c>
      <c r="BK8" s="9" t="str">
        <f t="shared" si="2"/>
        <v/>
      </c>
      <c r="BL8" s="9" t="str">
        <f t="shared" si="2"/>
        <v/>
      </c>
      <c r="BM8" s="9" t="str">
        <f t="shared" si="2"/>
        <v/>
      </c>
      <c r="BN8" s="9" t="str">
        <f t="shared" si="2"/>
        <v/>
      </c>
      <c r="BO8" s="9" t="str">
        <f t="shared" si="2"/>
        <v/>
      </c>
    </row>
    <row r="9" spans="1:67" s="2" customFormat="1" ht="12.95" customHeight="1">
      <c r="A9" s="8"/>
      <c r="B9" s="38" t="s">
        <v>15</v>
      </c>
      <c r="C9" s="38" t="s">
        <v>1</v>
      </c>
      <c r="D9" s="39" t="s">
        <v>2</v>
      </c>
      <c r="E9" s="38" t="s">
        <v>3</v>
      </c>
      <c r="F9" s="37" t="s">
        <v>16</v>
      </c>
      <c r="G9" s="15"/>
      <c r="H9" s="10" t="str">
        <f t="shared" ref="H9:I9" si="3">VLOOKUP(WEEKDAY(H7,2),semaine,2,FALSE)</f>
        <v>M</v>
      </c>
      <c r="I9" s="10" t="str">
        <f t="shared" si="3"/>
        <v>J</v>
      </c>
      <c r="J9" s="10" t="str">
        <f t="shared" ref="J9:BO9" si="4">VLOOKUP(WEEKDAY(J7,2),semaine,2,FALSE)</f>
        <v>V</v>
      </c>
      <c r="K9" s="10" t="str">
        <f t="shared" si="4"/>
        <v>S</v>
      </c>
      <c r="L9" s="10" t="str">
        <f t="shared" si="4"/>
        <v>D</v>
      </c>
      <c r="M9" s="10" t="str">
        <f t="shared" si="4"/>
        <v>L</v>
      </c>
      <c r="N9" s="10" t="str">
        <f t="shared" si="4"/>
        <v>M</v>
      </c>
      <c r="O9" s="10" t="str">
        <f t="shared" si="4"/>
        <v>M</v>
      </c>
      <c r="P9" s="10" t="str">
        <f t="shared" si="4"/>
        <v>J</v>
      </c>
      <c r="Q9" s="10" t="str">
        <f t="shared" si="4"/>
        <v>V</v>
      </c>
      <c r="R9" s="10" t="str">
        <f t="shared" si="4"/>
        <v>S</v>
      </c>
      <c r="S9" s="10" t="str">
        <f t="shared" si="4"/>
        <v>D</v>
      </c>
      <c r="T9" s="10" t="str">
        <f t="shared" si="4"/>
        <v>L</v>
      </c>
      <c r="U9" s="10" t="str">
        <f t="shared" si="4"/>
        <v>M</v>
      </c>
      <c r="V9" s="10" t="str">
        <f t="shared" si="4"/>
        <v>M</v>
      </c>
      <c r="W9" s="10" t="str">
        <f t="shared" si="4"/>
        <v>J</v>
      </c>
      <c r="X9" s="10" t="str">
        <f t="shared" si="4"/>
        <v>V</v>
      </c>
      <c r="Y9" s="10" t="str">
        <f t="shared" si="4"/>
        <v>S</v>
      </c>
      <c r="Z9" s="10" t="str">
        <f t="shared" si="4"/>
        <v>D</v>
      </c>
      <c r="AA9" s="10" t="str">
        <f t="shared" si="4"/>
        <v>L</v>
      </c>
      <c r="AB9" s="10" t="str">
        <f t="shared" si="4"/>
        <v>M</v>
      </c>
      <c r="AC9" s="10" t="str">
        <f t="shared" si="4"/>
        <v>M</v>
      </c>
      <c r="AD9" s="10" t="str">
        <f t="shared" si="4"/>
        <v>J</v>
      </c>
      <c r="AE9" s="10" t="str">
        <f t="shared" si="4"/>
        <v>V</v>
      </c>
      <c r="AF9" s="10" t="str">
        <f t="shared" si="4"/>
        <v>S</v>
      </c>
      <c r="AG9" s="10" t="str">
        <f t="shared" si="4"/>
        <v>D</v>
      </c>
      <c r="AH9" s="10" t="str">
        <f t="shared" si="4"/>
        <v>L</v>
      </c>
      <c r="AI9" s="10" t="str">
        <f t="shared" si="4"/>
        <v>M</v>
      </c>
      <c r="AJ9" s="10" t="str">
        <f t="shared" si="4"/>
        <v>M</v>
      </c>
      <c r="AK9" s="10" t="str">
        <f t="shared" si="4"/>
        <v>J</v>
      </c>
      <c r="AL9" s="10" t="str">
        <f t="shared" si="4"/>
        <v>V</v>
      </c>
      <c r="AM9" s="10" t="str">
        <f t="shared" si="4"/>
        <v>S</v>
      </c>
      <c r="AN9" s="10" t="str">
        <f t="shared" si="4"/>
        <v>D</v>
      </c>
      <c r="AO9" s="10" t="str">
        <f t="shared" si="4"/>
        <v>L</v>
      </c>
      <c r="AP9" s="10" t="str">
        <f t="shared" si="4"/>
        <v>M</v>
      </c>
      <c r="AQ9" s="10" t="str">
        <f t="shared" si="4"/>
        <v>M</v>
      </c>
      <c r="AR9" s="10" t="str">
        <f t="shared" si="4"/>
        <v>J</v>
      </c>
      <c r="AS9" s="10" t="str">
        <f t="shared" si="4"/>
        <v>V</v>
      </c>
      <c r="AT9" s="10" t="str">
        <f t="shared" si="4"/>
        <v>S</v>
      </c>
      <c r="AU9" s="10" t="str">
        <f t="shared" si="4"/>
        <v>D</v>
      </c>
      <c r="AV9" s="10" t="str">
        <f t="shared" si="4"/>
        <v>L</v>
      </c>
      <c r="AW9" s="10" t="str">
        <f t="shared" si="4"/>
        <v>M</v>
      </c>
      <c r="AX9" s="10" t="str">
        <f t="shared" si="4"/>
        <v>M</v>
      </c>
      <c r="AY9" s="10" t="str">
        <f t="shared" si="4"/>
        <v>J</v>
      </c>
      <c r="AZ9" s="10" t="str">
        <f t="shared" si="4"/>
        <v>V</v>
      </c>
      <c r="BA9" s="10" t="str">
        <f t="shared" si="4"/>
        <v>S</v>
      </c>
      <c r="BB9" s="10" t="str">
        <f t="shared" si="4"/>
        <v>D</v>
      </c>
      <c r="BC9" s="10" t="str">
        <f t="shared" si="4"/>
        <v>L</v>
      </c>
      <c r="BD9" s="10" t="str">
        <f t="shared" si="4"/>
        <v>M</v>
      </c>
      <c r="BE9" s="10" t="str">
        <f t="shared" si="4"/>
        <v>M</v>
      </c>
      <c r="BF9" s="10" t="str">
        <f t="shared" si="4"/>
        <v>J</v>
      </c>
      <c r="BG9" s="10" t="str">
        <f t="shared" si="4"/>
        <v>V</v>
      </c>
      <c r="BH9" s="10" t="str">
        <f t="shared" si="4"/>
        <v>S</v>
      </c>
      <c r="BI9" s="10" t="str">
        <f t="shared" si="4"/>
        <v>D</v>
      </c>
      <c r="BJ9" s="10" t="str">
        <f t="shared" si="4"/>
        <v>L</v>
      </c>
      <c r="BK9" s="10" t="str">
        <f t="shared" si="4"/>
        <v>M</v>
      </c>
      <c r="BL9" s="10" t="str">
        <f t="shared" si="4"/>
        <v>M</v>
      </c>
      <c r="BM9" s="10" t="str">
        <f t="shared" si="4"/>
        <v>J</v>
      </c>
      <c r="BN9" s="10" t="str">
        <f t="shared" si="4"/>
        <v>V</v>
      </c>
      <c r="BO9" s="10" t="str">
        <f t="shared" si="4"/>
        <v>S</v>
      </c>
    </row>
    <row r="10" spans="1:67" s="2" customFormat="1" ht="12.95" customHeight="1">
      <c r="A10" s="8"/>
      <c r="B10" s="38"/>
      <c r="C10" s="38"/>
      <c r="D10" s="39"/>
      <c r="E10" s="38"/>
      <c r="F10" s="37"/>
      <c r="G10" s="15"/>
      <c r="H10" s="10">
        <f>DAY(H7)</f>
        <v>8</v>
      </c>
      <c r="I10" s="10">
        <f t="shared" ref="I10" si="5">DAY(I7)</f>
        <v>9</v>
      </c>
      <c r="J10" s="10">
        <f t="shared" ref="J10:BO10" si="6">DAY(J7)</f>
        <v>10</v>
      </c>
      <c r="K10" s="10">
        <f t="shared" si="6"/>
        <v>11</v>
      </c>
      <c r="L10" s="10">
        <f t="shared" si="6"/>
        <v>12</v>
      </c>
      <c r="M10" s="10">
        <f t="shared" si="6"/>
        <v>13</v>
      </c>
      <c r="N10" s="10">
        <f t="shared" si="6"/>
        <v>14</v>
      </c>
      <c r="O10" s="10">
        <f t="shared" si="6"/>
        <v>15</v>
      </c>
      <c r="P10" s="10">
        <f t="shared" si="6"/>
        <v>16</v>
      </c>
      <c r="Q10" s="10">
        <f t="shared" si="6"/>
        <v>17</v>
      </c>
      <c r="R10" s="10">
        <f t="shared" si="6"/>
        <v>18</v>
      </c>
      <c r="S10" s="10">
        <f t="shared" si="6"/>
        <v>19</v>
      </c>
      <c r="T10" s="10">
        <f t="shared" si="6"/>
        <v>20</v>
      </c>
      <c r="U10" s="10">
        <f t="shared" si="6"/>
        <v>21</v>
      </c>
      <c r="V10" s="10">
        <f t="shared" si="6"/>
        <v>22</v>
      </c>
      <c r="W10" s="10">
        <f t="shared" si="6"/>
        <v>23</v>
      </c>
      <c r="X10" s="10">
        <f t="shared" si="6"/>
        <v>24</v>
      </c>
      <c r="Y10" s="10">
        <f t="shared" si="6"/>
        <v>25</v>
      </c>
      <c r="Z10" s="10">
        <f t="shared" si="6"/>
        <v>26</v>
      </c>
      <c r="AA10" s="10">
        <f t="shared" si="6"/>
        <v>27</v>
      </c>
      <c r="AB10" s="10">
        <f t="shared" si="6"/>
        <v>28</v>
      </c>
      <c r="AC10" s="10">
        <f t="shared" si="6"/>
        <v>29</v>
      </c>
      <c r="AD10" s="10">
        <f t="shared" si="6"/>
        <v>30</v>
      </c>
      <c r="AE10" s="10">
        <f t="shared" si="6"/>
        <v>31</v>
      </c>
      <c r="AF10" s="10">
        <f t="shared" si="6"/>
        <v>1</v>
      </c>
      <c r="AG10" s="10">
        <f t="shared" si="6"/>
        <v>2</v>
      </c>
      <c r="AH10" s="10">
        <f t="shared" si="6"/>
        <v>3</v>
      </c>
      <c r="AI10" s="10">
        <f t="shared" si="6"/>
        <v>4</v>
      </c>
      <c r="AJ10" s="10">
        <f t="shared" si="6"/>
        <v>5</v>
      </c>
      <c r="AK10" s="10">
        <f t="shared" si="6"/>
        <v>6</v>
      </c>
      <c r="AL10" s="10">
        <f t="shared" si="6"/>
        <v>7</v>
      </c>
      <c r="AM10" s="10">
        <f t="shared" si="6"/>
        <v>8</v>
      </c>
      <c r="AN10" s="10">
        <f t="shared" si="6"/>
        <v>9</v>
      </c>
      <c r="AO10" s="10">
        <f t="shared" si="6"/>
        <v>10</v>
      </c>
      <c r="AP10" s="10">
        <f t="shared" si="6"/>
        <v>11</v>
      </c>
      <c r="AQ10" s="10">
        <f t="shared" si="6"/>
        <v>12</v>
      </c>
      <c r="AR10" s="10">
        <f t="shared" si="6"/>
        <v>13</v>
      </c>
      <c r="AS10" s="10">
        <f t="shared" si="6"/>
        <v>14</v>
      </c>
      <c r="AT10" s="10">
        <f t="shared" si="6"/>
        <v>15</v>
      </c>
      <c r="AU10" s="10">
        <f t="shared" si="6"/>
        <v>16</v>
      </c>
      <c r="AV10" s="10">
        <f t="shared" si="6"/>
        <v>17</v>
      </c>
      <c r="AW10" s="10">
        <f t="shared" si="6"/>
        <v>18</v>
      </c>
      <c r="AX10" s="10">
        <f t="shared" si="6"/>
        <v>19</v>
      </c>
      <c r="AY10" s="10">
        <f t="shared" si="6"/>
        <v>20</v>
      </c>
      <c r="AZ10" s="10">
        <f t="shared" si="6"/>
        <v>21</v>
      </c>
      <c r="BA10" s="10">
        <f t="shared" si="6"/>
        <v>22</v>
      </c>
      <c r="BB10" s="10">
        <f t="shared" si="6"/>
        <v>23</v>
      </c>
      <c r="BC10" s="10">
        <f t="shared" si="6"/>
        <v>24</v>
      </c>
      <c r="BD10" s="10">
        <f t="shared" si="6"/>
        <v>25</v>
      </c>
      <c r="BE10" s="10">
        <f t="shared" si="6"/>
        <v>26</v>
      </c>
      <c r="BF10" s="10">
        <f t="shared" si="6"/>
        <v>27</v>
      </c>
      <c r="BG10" s="10">
        <f t="shared" si="6"/>
        <v>28</v>
      </c>
      <c r="BH10" s="10">
        <f t="shared" si="6"/>
        <v>29</v>
      </c>
      <c r="BI10" s="10">
        <f t="shared" si="6"/>
        <v>30</v>
      </c>
      <c r="BJ10" s="10">
        <f t="shared" si="6"/>
        <v>1</v>
      </c>
      <c r="BK10" s="10">
        <f t="shared" si="6"/>
        <v>2</v>
      </c>
      <c r="BL10" s="10">
        <f t="shared" si="6"/>
        <v>3</v>
      </c>
      <c r="BM10" s="10">
        <f t="shared" si="6"/>
        <v>4</v>
      </c>
      <c r="BN10" s="10">
        <f t="shared" si="6"/>
        <v>5</v>
      </c>
      <c r="BO10" s="10">
        <f t="shared" si="6"/>
        <v>6</v>
      </c>
    </row>
    <row r="11" spans="1:67" s="2" customFormat="1" ht="12.95" customHeight="1">
      <c r="A11" s="19">
        <v>1</v>
      </c>
      <c r="B11" s="20" t="s">
        <v>82</v>
      </c>
      <c r="C11" s="36">
        <v>42802</v>
      </c>
      <c r="D11" s="21">
        <v>44</v>
      </c>
      <c r="E11" s="36">
        <f>IF(B11="","",IF($C$5="OUI",WORKDAY(C11,IF(WEEKDAY(C11,2)&gt;=6,D11,D11-1)),C11+D11-1))</f>
        <v>42845</v>
      </c>
      <c r="F11" s="28">
        <f>AVERAGE(F12:F32)</f>
        <v>0.51190476190476186</v>
      </c>
      <c r="G11" s="22">
        <f>C11+F11*(E11-C11)</f>
        <v>42824.011904761908</v>
      </c>
      <c r="H11" s="1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</row>
    <row r="12" spans="1:67" ht="12.95" customHeight="1">
      <c r="A12" s="7" t="str">
        <f>Suivi!A2</f>
        <v>a1</v>
      </c>
      <c r="B12" s="7" t="str">
        <f>Suivi!B2</f>
        <v>Etude des documents</v>
      </c>
      <c r="C12" s="33">
        <f>Suivi!D2</f>
        <v>42802</v>
      </c>
      <c r="D12" s="11">
        <f>Suivi!E2</f>
        <v>5</v>
      </c>
      <c r="E12" s="31">
        <f>IF(B12="","",IF($C$5="OUI",WORKDAY(C12,IF(WEEKDAY(C12,2)&gt;=6,D12,D12-1)),C12+D12-1))</f>
        <v>42806</v>
      </c>
      <c r="F12" s="29">
        <f>Suivi!F2</f>
        <v>1</v>
      </c>
      <c r="G12" s="18">
        <f t="shared" ref="G12:G41" si="7">C12+F12*(E12-C12)</f>
        <v>42806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</row>
    <row r="13" spans="1:67" ht="12.95" customHeight="1">
      <c r="A13" s="7" t="str">
        <f>Suivi!A3</f>
        <v>a2</v>
      </c>
      <c r="B13" s="7" t="str">
        <f>Suivi!B3</f>
        <v>Création des écrans (Scénario)</v>
      </c>
      <c r="C13" s="33">
        <f>Suivi!D3</f>
        <v>42809</v>
      </c>
      <c r="D13" s="11">
        <f>Suivi!E3</f>
        <v>2</v>
      </c>
      <c r="E13" s="31">
        <f t="shared" ref="E13:E76" si="8">IF(B13="","",IF($C$5="OUI",WORKDAY(C13,IF(WEEKDAY(C13,2)&gt;=6,D13,D13-1)),C13+D13-1))</f>
        <v>42810</v>
      </c>
      <c r="F13" s="29">
        <f>Suivi!F3</f>
        <v>1</v>
      </c>
      <c r="G13" s="18">
        <f t="shared" si="7"/>
        <v>42810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</row>
    <row r="14" spans="1:67" ht="12.95" customHeight="1">
      <c r="A14" s="7" t="str">
        <f>Suivi!A4</f>
        <v>a3</v>
      </c>
      <c r="B14" s="7" t="str">
        <f>Suivi!B4</f>
        <v>Diagramme de Gantt (suivi de projet)</v>
      </c>
      <c r="C14" s="33">
        <f>Suivi!D4</f>
        <v>42807</v>
      </c>
      <c r="D14" s="11">
        <f>Suivi!E4</f>
        <v>1</v>
      </c>
      <c r="E14" s="31">
        <f t="shared" si="8"/>
        <v>42807</v>
      </c>
      <c r="F14" s="29">
        <f>Suivi!F4</f>
        <v>1</v>
      </c>
      <c r="G14" s="18">
        <f t="shared" si="7"/>
        <v>42807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</row>
    <row r="15" spans="1:67" ht="12.95" customHeight="1">
      <c r="A15" s="7" t="str">
        <f>Suivi!A5</f>
        <v>b1</v>
      </c>
      <c r="B15" s="7" t="str">
        <f>Suivi!B5</f>
        <v>Zoning</v>
      </c>
      <c r="C15" s="33">
        <f>Suivi!D5</f>
        <v>42808</v>
      </c>
      <c r="D15" s="11">
        <f>Suivi!E5</f>
        <v>1</v>
      </c>
      <c r="E15" s="31">
        <f t="shared" si="8"/>
        <v>42808</v>
      </c>
      <c r="F15" s="29">
        <f>Suivi!F5</f>
        <v>0</v>
      </c>
      <c r="G15" s="18">
        <f t="shared" si="7"/>
        <v>42808</v>
      </c>
    </row>
    <row r="16" spans="1:67" ht="12.95" customHeight="1">
      <c r="A16" s="7" t="str">
        <f>Suivi!A6</f>
        <v>b2</v>
      </c>
      <c r="B16" s="7" t="str">
        <f>Suivi!B6</f>
        <v xml:space="preserve">Réalisation Logo </v>
      </c>
      <c r="C16" s="33">
        <f>Suivi!D6</f>
        <v>42808</v>
      </c>
      <c r="D16" s="11">
        <f>Suivi!E6</f>
        <v>1</v>
      </c>
      <c r="E16" s="31">
        <f t="shared" si="8"/>
        <v>42808</v>
      </c>
      <c r="F16" s="29">
        <f>Suivi!F6</f>
        <v>1</v>
      </c>
      <c r="G16" s="18">
        <f t="shared" si="7"/>
        <v>42808</v>
      </c>
    </row>
    <row r="17" spans="1:7" ht="12.95" customHeight="1">
      <c r="A17" s="7" t="str">
        <f>Suivi!A7</f>
        <v>b3</v>
      </c>
      <c r="B17" s="7" t="str">
        <f>Suivi!B7</f>
        <v>Maquette Large Desktop</v>
      </c>
      <c r="C17" s="33">
        <f>Suivi!D7</f>
        <v>42809</v>
      </c>
      <c r="D17" s="11">
        <f>Suivi!E7</f>
        <v>1</v>
      </c>
      <c r="E17" s="31">
        <f t="shared" si="8"/>
        <v>42809</v>
      </c>
      <c r="F17" s="29">
        <f>Suivi!F7</f>
        <v>0</v>
      </c>
      <c r="G17" s="18">
        <f t="shared" si="7"/>
        <v>42809</v>
      </c>
    </row>
    <row r="18" spans="1:7" ht="12.95" customHeight="1">
      <c r="A18" s="7" t="str">
        <f>Suivi!A8</f>
        <v>b4</v>
      </c>
      <c r="B18" s="7" t="str">
        <f>Suivi!B8</f>
        <v>Maquette Mobile</v>
      </c>
      <c r="C18" s="33">
        <f>Suivi!D8</f>
        <v>42809</v>
      </c>
      <c r="D18" s="11">
        <f>Suivi!E8</f>
        <v>1</v>
      </c>
      <c r="E18" s="31">
        <f t="shared" si="8"/>
        <v>42809</v>
      </c>
      <c r="F18" s="29">
        <f>Suivi!F8</f>
        <v>0</v>
      </c>
      <c r="G18" s="18">
        <f t="shared" si="7"/>
        <v>42809</v>
      </c>
    </row>
    <row r="19" spans="1:7" ht="12.95" customHeight="1">
      <c r="A19" s="7" t="str">
        <f>Suivi!A9</f>
        <v>b5</v>
      </c>
      <c r="B19" s="7" t="str">
        <f>Suivi!B9</f>
        <v>Rédaction charte graphique</v>
      </c>
      <c r="C19" s="33">
        <f>Suivi!D9</f>
        <v>42810</v>
      </c>
      <c r="D19" s="11">
        <f>Suivi!E9</f>
        <v>3</v>
      </c>
      <c r="E19" s="31">
        <f t="shared" si="8"/>
        <v>42812</v>
      </c>
      <c r="F19" s="29">
        <f>Suivi!F9</f>
        <v>1</v>
      </c>
      <c r="G19" s="18">
        <f t="shared" si="7"/>
        <v>42812</v>
      </c>
    </row>
    <row r="20" spans="1:7" ht="12.95" customHeight="1">
      <c r="A20" s="7" t="str">
        <f>Suivi!A10</f>
        <v>c1</v>
      </c>
      <c r="B20" s="7" t="str">
        <f>Suivi!B10</f>
        <v xml:space="preserve">Structuration template </v>
      </c>
      <c r="C20" s="33">
        <f>Suivi!D10</f>
        <v>42813</v>
      </c>
      <c r="D20" s="11">
        <f>Suivi!E10</f>
        <v>1</v>
      </c>
      <c r="E20" s="31">
        <f t="shared" si="8"/>
        <v>42813</v>
      </c>
      <c r="F20" s="29">
        <f>Suivi!F10</f>
        <v>1</v>
      </c>
      <c r="G20" s="18">
        <f t="shared" si="7"/>
        <v>42813</v>
      </c>
    </row>
    <row r="21" spans="1:7" ht="12.95" customHeight="1">
      <c r="A21" s="7" t="str">
        <f>Suivi!A11</f>
        <v>c2</v>
      </c>
      <c r="B21" s="7" t="str">
        <f>Suivi!B11</f>
        <v>Développement module</v>
      </c>
      <c r="C21" s="33">
        <f>Suivi!D11</f>
        <v>42814</v>
      </c>
      <c r="D21" s="11">
        <f>Suivi!E11</f>
        <v>5</v>
      </c>
      <c r="E21" s="31">
        <f t="shared" si="8"/>
        <v>42818</v>
      </c>
      <c r="F21" s="29">
        <f>Suivi!F11</f>
        <v>0</v>
      </c>
      <c r="G21" s="18">
        <f t="shared" si="7"/>
        <v>42814</v>
      </c>
    </row>
    <row r="22" spans="1:7" ht="12.95" customHeight="1">
      <c r="A22" s="7" t="str">
        <f>Suivi!A12</f>
        <v>c3</v>
      </c>
      <c r="B22" s="7" t="str">
        <f>Suivi!B12</f>
        <v xml:space="preserve">Intégration </v>
      </c>
      <c r="C22" s="33">
        <f>Suivi!D12</f>
        <v>42819</v>
      </c>
      <c r="D22" s="11">
        <f>Suivi!E12</f>
        <v>1</v>
      </c>
      <c r="E22" s="31">
        <f t="shared" si="8"/>
        <v>42819</v>
      </c>
      <c r="F22" s="29">
        <f>Suivi!F12</f>
        <v>0</v>
      </c>
      <c r="G22" s="18">
        <f t="shared" si="7"/>
        <v>42819</v>
      </c>
    </row>
    <row r="23" spans="1:7" ht="12.95" customHeight="1">
      <c r="A23" s="7" t="str">
        <f>Suivi!A13</f>
        <v>c4</v>
      </c>
      <c r="B23" s="7" t="str">
        <f>Suivi!B13</f>
        <v>Insertion de données</v>
      </c>
      <c r="C23" s="33">
        <f>Suivi!D13</f>
        <v>42819</v>
      </c>
      <c r="D23" s="11">
        <f>Suivi!E13</f>
        <v>3</v>
      </c>
      <c r="E23" s="31">
        <f t="shared" si="8"/>
        <v>42821</v>
      </c>
      <c r="F23" s="29">
        <f>Suivi!F13</f>
        <v>1</v>
      </c>
      <c r="G23" s="18">
        <f t="shared" si="7"/>
        <v>42821</v>
      </c>
    </row>
    <row r="24" spans="1:7" ht="12.95" customHeight="1">
      <c r="A24" s="7" t="str">
        <f>Suivi!A14</f>
        <v>c5</v>
      </c>
      <c r="B24" s="7" t="str">
        <f>Suivi!B14</f>
        <v xml:space="preserve">Test </v>
      </c>
      <c r="C24" s="33">
        <f>Suivi!D14</f>
        <v>42822</v>
      </c>
      <c r="D24" s="11">
        <f>Suivi!E14</f>
        <v>1</v>
      </c>
      <c r="E24" s="31">
        <f t="shared" si="8"/>
        <v>42822</v>
      </c>
      <c r="F24" s="29">
        <f>Suivi!F14</f>
        <v>0</v>
      </c>
      <c r="G24" s="18">
        <f t="shared" si="7"/>
        <v>42822</v>
      </c>
    </row>
    <row r="25" spans="1:7" ht="12.95" customHeight="1">
      <c r="A25" s="7" t="str">
        <f>Suivi!A15</f>
        <v>d1</v>
      </c>
      <c r="B25" s="7" t="str">
        <f>Suivi!B15</f>
        <v>Rédaction guide utilisateur</v>
      </c>
      <c r="C25" s="33">
        <f>Suivi!D15</f>
        <v>42823</v>
      </c>
      <c r="D25" s="11">
        <f>Suivi!E15</f>
        <v>2</v>
      </c>
      <c r="E25" s="31">
        <f t="shared" si="8"/>
        <v>42824</v>
      </c>
      <c r="F25" s="29">
        <f>Suivi!F15</f>
        <v>0</v>
      </c>
      <c r="G25" s="18">
        <f t="shared" si="7"/>
        <v>42823</v>
      </c>
    </row>
    <row r="26" spans="1:7" ht="12.95" customHeight="1">
      <c r="A26" s="7" t="str">
        <f>Suivi!A16</f>
        <v>d2</v>
      </c>
      <c r="B26" s="7" t="str">
        <f>Suivi!B16</f>
        <v>Rédaction documents développeur</v>
      </c>
      <c r="C26" s="33">
        <f>Suivi!D16</f>
        <v>42792</v>
      </c>
      <c r="D26" s="11">
        <f>Suivi!E16</f>
        <v>2</v>
      </c>
      <c r="E26" s="31">
        <f t="shared" si="8"/>
        <v>42793</v>
      </c>
      <c r="F26" s="29">
        <f>Suivi!F16</f>
        <v>0</v>
      </c>
      <c r="G26" s="18">
        <f t="shared" si="7"/>
        <v>42792</v>
      </c>
    </row>
    <row r="27" spans="1:7" ht="12.95" customHeight="1">
      <c r="A27" s="7" t="str">
        <f>Suivi!A17</f>
        <v>d3</v>
      </c>
      <c r="B27" s="7" t="str">
        <f>Suivi!B17</f>
        <v>Rédaction cahier des spécifications</v>
      </c>
      <c r="C27" s="33">
        <f>Suivi!D17</f>
        <v>42807</v>
      </c>
      <c r="D27" s="11">
        <f>Suivi!E17</f>
        <v>5</v>
      </c>
      <c r="E27" s="31">
        <f t="shared" si="8"/>
        <v>42811</v>
      </c>
      <c r="F27" s="29">
        <f>Suivi!F17</f>
        <v>0.75</v>
      </c>
      <c r="G27" s="18">
        <f t="shared" si="7"/>
        <v>42810</v>
      </c>
    </row>
    <row r="28" spans="1:7" ht="12.95" customHeight="1">
      <c r="A28" s="7" t="str">
        <f>Suivi!A18</f>
        <v>d4</v>
      </c>
      <c r="B28" s="7" t="str">
        <f>Suivi!B18</f>
        <v>Rapport de veille</v>
      </c>
      <c r="C28" s="33">
        <f>Suivi!D18</f>
        <v>42803</v>
      </c>
      <c r="D28" s="11">
        <f>Suivi!E18</f>
        <v>2</v>
      </c>
      <c r="E28" s="31">
        <f t="shared" si="8"/>
        <v>42804</v>
      </c>
      <c r="F28" s="29">
        <f>Suivi!F18</f>
        <v>1</v>
      </c>
      <c r="G28" s="18">
        <f t="shared" si="7"/>
        <v>42804</v>
      </c>
    </row>
    <row r="29" spans="1:7" ht="12.95" customHeight="1">
      <c r="A29" s="7" t="str">
        <f>Suivi!A19</f>
        <v>d5</v>
      </c>
      <c r="B29" s="7" t="str">
        <f>Suivi!B19</f>
        <v>Rédaction convention nommage/codage</v>
      </c>
      <c r="C29" s="33">
        <f>Suivi!D19</f>
        <v>42807</v>
      </c>
      <c r="D29" s="11">
        <f>Suivi!E19</f>
        <v>1</v>
      </c>
      <c r="E29" s="31">
        <f t="shared" si="8"/>
        <v>42807</v>
      </c>
      <c r="F29" s="29">
        <f>Suivi!F19</f>
        <v>1</v>
      </c>
      <c r="G29" s="18">
        <f t="shared" si="7"/>
        <v>42807</v>
      </c>
    </row>
    <row r="30" spans="1:7" ht="12.95" customHeight="1">
      <c r="A30" s="7" t="str">
        <f>Suivi!A20</f>
        <v>e1</v>
      </c>
      <c r="B30" s="7" t="str">
        <f>Suivi!B20</f>
        <v>Création powerpoint</v>
      </c>
      <c r="C30" s="33">
        <f>Suivi!D20</f>
        <v>42841</v>
      </c>
      <c r="D30" s="11">
        <f>Suivi!E20</f>
        <v>2</v>
      </c>
      <c r="E30" s="31">
        <f t="shared" si="8"/>
        <v>42842</v>
      </c>
      <c r="F30" s="29">
        <f>Suivi!F20</f>
        <v>0</v>
      </c>
      <c r="G30" s="18">
        <f t="shared" si="7"/>
        <v>42841</v>
      </c>
    </row>
    <row r="31" spans="1:7" ht="12.95" customHeight="1">
      <c r="A31" s="7" t="str">
        <f>Suivi!A21</f>
        <v>e2</v>
      </c>
      <c r="B31" s="7" t="str">
        <f>Suivi!B21</f>
        <v>Préparation soutenance</v>
      </c>
      <c r="C31" s="33">
        <f>Suivi!D21</f>
        <v>42841</v>
      </c>
      <c r="D31" s="11">
        <f>Suivi!E21</f>
        <v>3</v>
      </c>
      <c r="E31" s="31">
        <f t="shared" si="8"/>
        <v>42843</v>
      </c>
      <c r="F31" s="29">
        <f>Suivi!F21</f>
        <v>0</v>
      </c>
      <c r="G31" s="18">
        <f t="shared" si="7"/>
        <v>42841</v>
      </c>
    </row>
    <row r="32" spans="1:7" ht="12.95" customHeight="1">
      <c r="A32" s="7" t="str">
        <f>Suivi!A22</f>
        <v>f1</v>
      </c>
      <c r="B32" s="7" t="str">
        <f>Suivi!B22</f>
        <v>Mise en place environnement</v>
      </c>
      <c r="C32" s="33">
        <f>Suivi!D22</f>
        <v>42740</v>
      </c>
      <c r="D32" s="11">
        <f>Suivi!E22</f>
        <v>1</v>
      </c>
      <c r="E32" s="31">
        <f t="shared" si="8"/>
        <v>42740</v>
      </c>
      <c r="F32" s="29">
        <f>Suivi!F22</f>
        <v>1</v>
      </c>
      <c r="G32" s="18">
        <f t="shared" si="7"/>
        <v>42740</v>
      </c>
    </row>
    <row r="33" spans="2:7" ht="12.95" customHeight="1">
      <c r="B33" s="7"/>
      <c r="C33" s="33"/>
      <c r="D33" s="11"/>
      <c r="E33" s="31"/>
      <c r="F33" s="29"/>
      <c r="G33" s="18">
        <f t="shared" si="7"/>
        <v>0</v>
      </c>
    </row>
    <row r="34" spans="2:7" ht="12.95" customHeight="1">
      <c r="B34" s="7"/>
      <c r="C34" s="33"/>
      <c r="D34" s="11"/>
      <c r="E34" s="31"/>
      <c r="F34" s="29"/>
      <c r="G34" s="18">
        <f t="shared" si="7"/>
        <v>0</v>
      </c>
    </row>
    <row r="35" spans="2:7" ht="12.95" customHeight="1">
      <c r="B35" s="7"/>
      <c r="C35" s="33"/>
      <c r="D35" s="11"/>
      <c r="E35" s="31"/>
      <c r="F35" s="29"/>
      <c r="G35" s="18">
        <f t="shared" si="7"/>
        <v>0</v>
      </c>
    </row>
    <row r="36" spans="2:7" ht="12.95" customHeight="1">
      <c r="B36" s="7"/>
      <c r="C36" s="33"/>
      <c r="D36" s="11"/>
      <c r="E36" s="31"/>
      <c r="F36" s="29"/>
      <c r="G36" s="18">
        <f t="shared" si="7"/>
        <v>0</v>
      </c>
    </row>
    <row r="37" spans="2:7" ht="12.95" customHeight="1">
      <c r="B37" s="7"/>
      <c r="C37" s="33"/>
      <c r="D37" s="11"/>
      <c r="E37" s="31"/>
      <c r="F37" s="29"/>
      <c r="G37" s="18">
        <f t="shared" si="7"/>
        <v>0</v>
      </c>
    </row>
    <row r="38" spans="2:7" ht="12.95" customHeight="1">
      <c r="B38" s="7"/>
      <c r="C38" s="33"/>
      <c r="D38" s="11"/>
      <c r="E38" s="31"/>
      <c r="F38" s="29"/>
      <c r="G38" s="18">
        <f t="shared" si="7"/>
        <v>0</v>
      </c>
    </row>
    <row r="39" spans="2:7" ht="12.95" customHeight="1">
      <c r="B39" s="7"/>
      <c r="C39" s="33"/>
      <c r="D39" s="11"/>
      <c r="E39" s="31"/>
      <c r="F39" s="29"/>
      <c r="G39" s="18">
        <f t="shared" si="7"/>
        <v>0</v>
      </c>
    </row>
    <row r="40" spans="2:7" ht="12.95" customHeight="1">
      <c r="B40" s="7"/>
      <c r="C40" s="33"/>
      <c r="D40" s="11"/>
      <c r="E40" s="31"/>
      <c r="F40" s="29"/>
      <c r="G40" s="18">
        <f t="shared" si="7"/>
        <v>0</v>
      </c>
    </row>
    <row r="41" spans="2:7" ht="12.95" customHeight="1">
      <c r="B41" s="7"/>
      <c r="C41" s="33"/>
      <c r="D41" s="11"/>
      <c r="E41" s="31"/>
      <c r="F41" s="29"/>
      <c r="G41" s="18">
        <f t="shared" si="7"/>
        <v>0</v>
      </c>
    </row>
    <row r="42" spans="2:7" ht="12.95" customHeight="1">
      <c r="B42" s="7"/>
      <c r="C42" s="33"/>
      <c r="D42" s="11"/>
      <c r="E42" s="31"/>
      <c r="F42" s="29"/>
    </row>
    <row r="43" spans="2:7" ht="12.95" customHeight="1">
      <c r="B43" s="7"/>
      <c r="C43" s="33"/>
      <c r="D43" s="11"/>
      <c r="E43" s="31"/>
      <c r="F43" s="29"/>
    </row>
    <row r="44" spans="2:7" ht="12.95" customHeight="1">
      <c r="B44" s="7"/>
      <c r="C44" s="33"/>
      <c r="D44" s="11"/>
      <c r="E44" s="31"/>
      <c r="F44" s="29"/>
    </row>
    <row r="45" spans="2:7" ht="12.95" customHeight="1">
      <c r="B45" s="7"/>
      <c r="C45" s="33"/>
      <c r="D45" s="11"/>
      <c r="E45" s="31"/>
      <c r="F45" s="29"/>
    </row>
    <row r="46" spans="2:7" ht="12.95" customHeight="1">
      <c r="B46" s="7"/>
      <c r="C46" s="33"/>
      <c r="D46" s="11"/>
      <c r="E46" s="31"/>
      <c r="F46" s="29"/>
    </row>
    <row r="47" spans="2:7" ht="12.95" customHeight="1">
      <c r="B47" s="7"/>
      <c r="C47" s="33"/>
      <c r="D47" s="11"/>
      <c r="E47" s="31"/>
      <c r="F47" s="29"/>
    </row>
    <row r="48" spans="2:7" ht="12.95" customHeight="1">
      <c r="B48" s="7"/>
      <c r="C48" s="33"/>
      <c r="D48" s="11"/>
      <c r="E48" s="31"/>
      <c r="F48" s="29"/>
    </row>
    <row r="49" spans="2:6" ht="12.95" customHeight="1">
      <c r="B49" s="7"/>
      <c r="C49" s="33"/>
      <c r="D49" s="11"/>
      <c r="E49" s="31"/>
      <c r="F49" s="29"/>
    </row>
    <row r="50" spans="2:6" ht="12.95" customHeight="1">
      <c r="B50" s="7"/>
      <c r="C50" s="33"/>
      <c r="D50" s="11"/>
      <c r="E50" s="31"/>
      <c r="F50" s="29"/>
    </row>
    <row r="51" spans="2:6" ht="12.95" customHeight="1">
      <c r="B51" s="7"/>
      <c r="C51" s="33"/>
      <c r="D51" s="11"/>
      <c r="E51" s="31"/>
      <c r="F51" s="29"/>
    </row>
    <row r="52" spans="2:6" ht="12.95" customHeight="1">
      <c r="B52" s="7"/>
      <c r="C52" s="33"/>
      <c r="D52" s="11"/>
      <c r="E52" s="31"/>
      <c r="F52" s="29"/>
    </row>
    <row r="53" spans="2:6" ht="12.95" customHeight="1">
      <c r="B53" s="7"/>
      <c r="C53" s="33"/>
      <c r="D53" s="11"/>
      <c r="E53" s="31"/>
      <c r="F53" s="29"/>
    </row>
    <row r="54" spans="2:6" ht="12.95" customHeight="1">
      <c r="B54" s="7"/>
      <c r="C54" s="33"/>
      <c r="D54" s="11"/>
      <c r="E54" s="31"/>
      <c r="F54" s="29"/>
    </row>
    <row r="55" spans="2:6" ht="12.95" customHeight="1">
      <c r="B55" s="7"/>
      <c r="C55" s="33"/>
      <c r="D55" s="11"/>
      <c r="E55" s="31"/>
      <c r="F55" s="29"/>
    </row>
    <row r="56" spans="2:6" ht="12.95" customHeight="1">
      <c r="B56" s="7"/>
      <c r="C56" s="33"/>
      <c r="D56" s="11"/>
      <c r="E56" s="31"/>
      <c r="F56" s="29"/>
    </row>
    <row r="57" spans="2:6" ht="12.95" customHeight="1">
      <c r="E57" s="31"/>
    </row>
    <row r="58" spans="2:6" ht="12.95" customHeight="1">
      <c r="E58" s="31"/>
    </row>
    <row r="59" spans="2:6" ht="12.95" customHeight="1">
      <c r="E59" s="31" t="str">
        <f t="shared" si="8"/>
        <v/>
      </c>
    </row>
    <row r="60" spans="2:6" ht="12.95" customHeight="1">
      <c r="E60" s="31" t="str">
        <f t="shared" si="8"/>
        <v/>
      </c>
    </row>
    <row r="61" spans="2:6" ht="12.95" customHeight="1">
      <c r="E61" s="31" t="str">
        <f t="shared" si="8"/>
        <v/>
      </c>
    </row>
    <row r="62" spans="2:6" ht="12.95" customHeight="1">
      <c r="E62" s="31" t="str">
        <f t="shared" si="8"/>
        <v/>
      </c>
    </row>
    <row r="63" spans="2:6" ht="12.95" customHeight="1">
      <c r="E63" s="31" t="str">
        <f t="shared" si="8"/>
        <v/>
      </c>
    </row>
    <row r="64" spans="2:6" ht="12.95" customHeight="1">
      <c r="E64" s="31" t="str">
        <f t="shared" si="8"/>
        <v/>
      </c>
    </row>
    <row r="65" spans="5:5" ht="12.95" customHeight="1">
      <c r="E65" s="31" t="str">
        <f t="shared" si="8"/>
        <v/>
      </c>
    </row>
    <row r="66" spans="5:5" ht="12.95" customHeight="1">
      <c r="E66" s="31" t="str">
        <f t="shared" si="8"/>
        <v/>
      </c>
    </row>
    <row r="67" spans="5:5" ht="12.95" customHeight="1">
      <c r="E67" s="31" t="str">
        <f t="shared" si="8"/>
        <v/>
      </c>
    </row>
    <row r="68" spans="5:5" ht="12.95" customHeight="1">
      <c r="E68" s="31" t="str">
        <f t="shared" si="8"/>
        <v/>
      </c>
    </row>
    <row r="69" spans="5:5" ht="12.95" customHeight="1">
      <c r="E69" s="31" t="str">
        <f t="shared" si="8"/>
        <v/>
      </c>
    </row>
    <row r="70" spans="5:5" ht="12.95" customHeight="1">
      <c r="E70" s="31" t="str">
        <f t="shared" si="8"/>
        <v/>
      </c>
    </row>
    <row r="71" spans="5:5" ht="12.95" customHeight="1">
      <c r="E71" s="31" t="str">
        <f t="shared" si="8"/>
        <v/>
      </c>
    </row>
    <row r="72" spans="5:5" ht="12.95" customHeight="1">
      <c r="E72" s="31" t="str">
        <f t="shared" si="8"/>
        <v/>
      </c>
    </row>
    <row r="73" spans="5:5" ht="12.95" customHeight="1">
      <c r="E73" s="31" t="str">
        <f t="shared" si="8"/>
        <v/>
      </c>
    </row>
    <row r="74" spans="5:5" ht="12.95" customHeight="1">
      <c r="E74" s="31" t="str">
        <f t="shared" si="8"/>
        <v/>
      </c>
    </row>
    <row r="75" spans="5:5" ht="12.95" customHeight="1">
      <c r="E75" s="31" t="str">
        <f t="shared" si="8"/>
        <v/>
      </c>
    </row>
    <row r="76" spans="5:5" ht="12.95" customHeight="1">
      <c r="E76" s="31" t="str">
        <f t="shared" si="8"/>
        <v/>
      </c>
    </row>
    <row r="77" spans="5:5" ht="12.95" customHeight="1">
      <c r="E77" s="31" t="str">
        <f t="shared" ref="E77:E99" si="9">IF(B77="","",IF($C$5="OUI",WORKDAY(C77,IF(WEEKDAY(C77,2)&gt;=6,D77,D77-1)),C77+D77-1))</f>
        <v/>
      </c>
    </row>
    <row r="78" spans="5:5" ht="12.95" customHeight="1">
      <c r="E78" s="31" t="str">
        <f t="shared" si="9"/>
        <v/>
      </c>
    </row>
    <row r="79" spans="5:5" ht="12.95" customHeight="1">
      <c r="E79" s="31" t="str">
        <f t="shared" si="9"/>
        <v/>
      </c>
    </row>
    <row r="80" spans="5:5" ht="12.95" customHeight="1">
      <c r="E80" s="31" t="str">
        <f t="shared" si="9"/>
        <v/>
      </c>
    </row>
    <row r="81" spans="5:5" ht="12.95" customHeight="1">
      <c r="E81" s="31" t="str">
        <f t="shared" si="9"/>
        <v/>
      </c>
    </row>
    <row r="82" spans="5:5" ht="12.95" customHeight="1">
      <c r="E82" s="31" t="str">
        <f t="shared" si="9"/>
        <v/>
      </c>
    </row>
    <row r="83" spans="5:5" ht="12.95" customHeight="1">
      <c r="E83" s="31" t="str">
        <f t="shared" si="9"/>
        <v/>
      </c>
    </row>
    <row r="84" spans="5:5" ht="12.95" customHeight="1">
      <c r="E84" s="31" t="str">
        <f t="shared" si="9"/>
        <v/>
      </c>
    </row>
    <row r="85" spans="5:5" ht="12.95" customHeight="1">
      <c r="E85" s="31" t="str">
        <f t="shared" si="9"/>
        <v/>
      </c>
    </row>
    <row r="86" spans="5:5" ht="12.95" customHeight="1">
      <c r="E86" s="31" t="str">
        <f t="shared" si="9"/>
        <v/>
      </c>
    </row>
    <row r="87" spans="5:5" ht="12.95" customHeight="1">
      <c r="E87" s="31" t="str">
        <f t="shared" si="9"/>
        <v/>
      </c>
    </row>
    <row r="88" spans="5:5" ht="12.95" customHeight="1">
      <c r="E88" s="31" t="str">
        <f t="shared" si="9"/>
        <v/>
      </c>
    </row>
    <row r="89" spans="5:5" ht="12.95" customHeight="1">
      <c r="E89" s="31" t="str">
        <f t="shared" si="9"/>
        <v/>
      </c>
    </row>
    <row r="90" spans="5:5" ht="12.95" customHeight="1">
      <c r="E90" s="31" t="str">
        <f t="shared" si="9"/>
        <v/>
      </c>
    </row>
    <row r="91" spans="5:5" ht="12.95" customHeight="1">
      <c r="E91" s="31" t="str">
        <f t="shared" si="9"/>
        <v/>
      </c>
    </row>
    <row r="92" spans="5:5" ht="12.95" customHeight="1">
      <c r="E92" s="31" t="str">
        <f t="shared" si="9"/>
        <v/>
      </c>
    </row>
    <row r="93" spans="5:5" ht="12.95" customHeight="1">
      <c r="E93" s="31" t="str">
        <f t="shared" si="9"/>
        <v/>
      </c>
    </row>
    <row r="94" spans="5:5">
      <c r="E94" s="31" t="str">
        <f t="shared" si="9"/>
        <v/>
      </c>
    </row>
    <row r="95" spans="5:5">
      <c r="E95" s="31" t="str">
        <f t="shared" si="9"/>
        <v/>
      </c>
    </row>
    <row r="96" spans="5:5">
      <c r="E96" s="31" t="str">
        <f t="shared" si="9"/>
        <v/>
      </c>
    </row>
    <row r="97" spans="5:5">
      <c r="E97" s="31" t="str">
        <f t="shared" si="9"/>
        <v/>
      </c>
    </row>
    <row r="98" spans="5:5">
      <c r="E98" s="31" t="str">
        <f t="shared" si="9"/>
        <v/>
      </c>
    </row>
    <row r="99" spans="5:5">
      <c r="E99" s="31" t="str">
        <f t="shared" si="9"/>
        <v/>
      </c>
    </row>
  </sheetData>
  <mergeCells count="14">
    <mergeCell ref="A7:E7"/>
    <mergeCell ref="C3:E3"/>
    <mergeCell ref="C2:E2"/>
    <mergeCell ref="A1:E1"/>
    <mergeCell ref="A2:B2"/>
    <mergeCell ref="A3:B3"/>
    <mergeCell ref="A4:B4"/>
    <mergeCell ref="A5:B5"/>
    <mergeCell ref="A6:B6"/>
    <mergeCell ref="F9:F10"/>
    <mergeCell ref="E9:E10"/>
    <mergeCell ref="D9:D10"/>
    <mergeCell ref="C9:C10"/>
    <mergeCell ref="B9:B10"/>
  </mergeCells>
  <conditionalFormatting sqref="H8:BO8">
    <cfRule type="expression" dxfId="25" priority="16">
      <formula>H8&lt;&gt;""</formula>
    </cfRule>
  </conditionalFormatting>
  <conditionalFormatting sqref="I7:BO7">
    <cfRule type="expression" dxfId="24" priority="15">
      <formula>I10&lt;&gt;1</formula>
    </cfRule>
  </conditionalFormatting>
  <conditionalFormatting sqref="I7:BO10">
    <cfRule type="expression" dxfId="23" priority="13">
      <formula>I$10=1</formula>
    </cfRule>
  </conditionalFormatting>
  <conditionalFormatting sqref="F11:F102">
    <cfRule type="expression" dxfId="22" priority="7">
      <formula>$B11&lt;&gt;""</formula>
    </cfRule>
  </conditionalFormatting>
  <conditionalFormatting sqref="H7:BO99">
    <cfRule type="expression" dxfId="21" priority="29">
      <formula>AND(H$7=$G$2,$B7&lt;&gt;"")</formula>
    </cfRule>
  </conditionalFormatting>
  <conditionalFormatting sqref="H12:BO99">
    <cfRule type="expression" dxfId="20" priority="30" stopIfTrue="1">
      <formula>$B12=""</formula>
    </cfRule>
    <cfRule type="expression" dxfId="19" priority="31">
      <formula>AND(H$7&gt;=$C12,H$7&lt;=$E12,H$7&lt;=$G12,$F12&gt;0)</formula>
    </cfRule>
    <cfRule type="expression" dxfId="18" priority="32">
      <formula>AND(H$7&gt;=$C12,H$7&lt;=$E12,H$7&gt;=$G12,H$7&gt;=TODAY())</formula>
    </cfRule>
    <cfRule type="expression" dxfId="17" priority="33">
      <formula>AND(H$7&gt;=$C12,H$7&lt;=$E12,H$7&gt;=$G12)</formula>
    </cfRule>
  </conditionalFormatting>
  <conditionalFormatting sqref="H11:BO11">
    <cfRule type="expression" dxfId="16" priority="1" stopIfTrue="1">
      <formula>$B11=""</formula>
    </cfRule>
    <cfRule type="expression" dxfId="15" priority="2">
      <formula>AND(H$7&gt;=$C11,H$7&lt;=$E11,H$7&lt;=$G11,$F11&gt;0)</formula>
    </cfRule>
    <cfRule type="expression" dxfId="14" priority="3">
      <formula>AND(H$7&gt;=$C11,H$7&lt;=$E11,H$7&gt;=$G11,H$7&gt;=TODAY())</formula>
    </cfRule>
    <cfRule type="expression" dxfId="13" priority="4">
      <formula>AND(H$7&gt;=$C11,H$7&lt;=$E11,H$7&gt;=$G11)</formula>
    </cfRule>
  </conditionalFormatting>
  <dataValidations count="1">
    <dataValidation type="list" allowBlank="1" showInputMessage="1" showErrorMessage="1" sqref="C5:E5">
      <formula1>ouinon</formula1>
    </dataValidation>
  </dataValidations>
  <pageMargins left="0.25" right="0.25" top="0.75" bottom="0.75" header="0.3" footer="0.3"/>
  <pageSetup paperSize="9" scale="68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I24"/>
  <sheetViews>
    <sheetView tabSelected="1" workbookViewId="0">
      <selection activeCell="A2" sqref="A2:I22"/>
    </sheetView>
  </sheetViews>
  <sheetFormatPr baseColWidth="10" defaultRowHeight="15"/>
  <cols>
    <col min="1" max="1" width="14.85546875" customWidth="1"/>
    <col min="2" max="2" width="37.42578125" bestFit="1" customWidth="1"/>
    <col min="3" max="3" width="10" bestFit="1" customWidth="1"/>
    <col min="4" max="4" width="15.7109375" customWidth="1"/>
    <col min="5" max="5" width="8.5703125" customWidth="1"/>
    <col min="6" max="6" width="9.5703125" customWidth="1"/>
    <col min="7" max="7" width="12.5703125" customWidth="1"/>
    <col min="8" max="8" width="7.140625" customWidth="1"/>
    <col min="9" max="9" width="71.140625" bestFit="1" customWidth="1"/>
  </cols>
  <sheetData>
    <row r="1" spans="1:9">
      <c r="A1" t="s">
        <v>17</v>
      </c>
      <c r="B1" t="s">
        <v>53</v>
      </c>
      <c r="C1" t="s">
        <v>18</v>
      </c>
      <c r="D1" t="s">
        <v>1</v>
      </c>
      <c r="E1" t="s">
        <v>2</v>
      </c>
      <c r="F1" t="s">
        <v>16</v>
      </c>
      <c r="G1" t="s">
        <v>52</v>
      </c>
      <c r="H1" t="s">
        <v>19</v>
      </c>
      <c r="I1" t="s">
        <v>20</v>
      </c>
    </row>
    <row r="2" spans="1:9">
      <c r="A2" t="s">
        <v>21</v>
      </c>
      <c r="B2" t="s">
        <v>22</v>
      </c>
      <c r="C2" t="s">
        <v>75</v>
      </c>
      <c r="D2" s="34">
        <v>42802</v>
      </c>
      <c r="E2">
        <v>5</v>
      </c>
      <c r="F2" s="35">
        <v>1</v>
      </c>
      <c r="G2">
        <v>2</v>
      </c>
      <c r="H2">
        <v>2</v>
      </c>
    </row>
    <row r="3" spans="1:9">
      <c r="A3" t="s">
        <v>23</v>
      </c>
      <c r="B3" t="s">
        <v>26</v>
      </c>
      <c r="C3" t="s">
        <v>28</v>
      </c>
      <c r="D3" s="34">
        <v>42809</v>
      </c>
      <c r="E3">
        <v>2</v>
      </c>
      <c r="F3" s="35">
        <v>1</v>
      </c>
      <c r="G3">
        <v>3</v>
      </c>
      <c r="H3">
        <v>1</v>
      </c>
      <c r="I3" t="s">
        <v>76</v>
      </c>
    </row>
    <row r="4" spans="1:9">
      <c r="A4" t="s">
        <v>25</v>
      </c>
      <c r="B4" t="s">
        <v>27</v>
      </c>
      <c r="C4" t="s">
        <v>28</v>
      </c>
      <c r="D4" s="34">
        <v>42807</v>
      </c>
      <c r="E4">
        <v>1</v>
      </c>
      <c r="F4" s="35">
        <v>1</v>
      </c>
      <c r="G4">
        <v>1</v>
      </c>
      <c r="H4">
        <v>1</v>
      </c>
      <c r="I4" t="s">
        <v>62</v>
      </c>
    </row>
    <row r="5" spans="1:9">
      <c r="A5" t="s">
        <v>67</v>
      </c>
      <c r="B5" t="s">
        <v>30</v>
      </c>
      <c r="C5" t="s">
        <v>28</v>
      </c>
      <c r="D5" s="34">
        <v>42808</v>
      </c>
      <c r="E5">
        <v>1</v>
      </c>
      <c r="F5" s="35">
        <v>0</v>
      </c>
      <c r="G5">
        <v>1</v>
      </c>
      <c r="I5" t="s">
        <v>63</v>
      </c>
    </row>
    <row r="6" spans="1:9">
      <c r="A6" t="s">
        <v>68</v>
      </c>
      <c r="B6" t="s">
        <v>57</v>
      </c>
      <c r="C6" t="s">
        <v>74</v>
      </c>
      <c r="D6" s="34">
        <v>42808</v>
      </c>
      <c r="E6">
        <v>1</v>
      </c>
      <c r="F6" s="35">
        <v>1</v>
      </c>
      <c r="G6">
        <v>1</v>
      </c>
      <c r="H6">
        <v>1</v>
      </c>
    </row>
    <row r="7" spans="1:9">
      <c r="A7" t="s">
        <v>69</v>
      </c>
      <c r="B7" t="s">
        <v>64</v>
      </c>
      <c r="C7" t="s">
        <v>28</v>
      </c>
      <c r="D7" s="34">
        <v>42809</v>
      </c>
      <c r="E7">
        <v>1</v>
      </c>
      <c r="F7" s="35">
        <v>0</v>
      </c>
      <c r="G7">
        <v>1</v>
      </c>
    </row>
    <row r="8" spans="1:9">
      <c r="A8" t="s">
        <v>70</v>
      </c>
      <c r="B8" t="s">
        <v>35</v>
      </c>
      <c r="C8" t="s">
        <v>28</v>
      </c>
      <c r="D8" s="34">
        <v>42809</v>
      </c>
      <c r="E8">
        <v>1</v>
      </c>
      <c r="F8" s="35">
        <v>0</v>
      </c>
      <c r="G8">
        <v>1</v>
      </c>
    </row>
    <row r="9" spans="1:9">
      <c r="A9" t="s">
        <v>71</v>
      </c>
      <c r="B9" t="s">
        <v>36</v>
      </c>
      <c r="C9" t="s">
        <v>28</v>
      </c>
      <c r="D9" s="34">
        <v>42810</v>
      </c>
      <c r="E9">
        <v>3</v>
      </c>
      <c r="F9" s="35">
        <v>1</v>
      </c>
      <c r="G9">
        <v>1</v>
      </c>
      <c r="H9">
        <v>1</v>
      </c>
    </row>
    <row r="10" spans="1:9">
      <c r="A10" t="s">
        <v>29</v>
      </c>
      <c r="B10" t="s">
        <v>46</v>
      </c>
      <c r="C10" t="s">
        <v>75</v>
      </c>
      <c r="D10" s="34">
        <v>42813</v>
      </c>
      <c r="E10">
        <v>1</v>
      </c>
      <c r="F10" s="35">
        <v>1</v>
      </c>
      <c r="G10">
        <v>1</v>
      </c>
      <c r="H10">
        <v>2</v>
      </c>
      <c r="I10" t="s">
        <v>66</v>
      </c>
    </row>
    <row r="11" spans="1:9">
      <c r="A11" t="s">
        <v>31</v>
      </c>
      <c r="B11" t="s">
        <v>73</v>
      </c>
      <c r="C11" t="s">
        <v>74</v>
      </c>
      <c r="D11" s="34">
        <v>42814</v>
      </c>
      <c r="E11">
        <v>5</v>
      </c>
      <c r="F11" s="35">
        <v>0</v>
      </c>
    </row>
    <row r="12" spans="1:9">
      <c r="A12" t="s">
        <v>32</v>
      </c>
      <c r="B12" t="s">
        <v>58</v>
      </c>
      <c r="C12" t="s">
        <v>74</v>
      </c>
      <c r="D12" s="34">
        <v>42819</v>
      </c>
      <c r="E12">
        <v>1</v>
      </c>
      <c r="F12" s="35">
        <v>0</v>
      </c>
      <c r="G12">
        <v>1</v>
      </c>
      <c r="I12" t="s">
        <v>77</v>
      </c>
    </row>
    <row r="13" spans="1:9">
      <c r="A13" t="s">
        <v>33</v>
      </c>
      <c r="B13" t="s">
        <v>78</v>
      </c>
      <c r="C13" t="s">
        <v>28</v>
      </c>
      <c r="D13" s="34">
        <v>42819</v>
      </c>
      <c r="E13">
        <v>3</v>
      </c>
      <c r="F13" s="35">
        <v>1</v>
      </c>
      <c r="G13">
        <v>1</v>
      </c>
      <c r="H13">
        <v>2</v>
      </c>
      <c r="I13" t="s">
        <v>79</v>
      </c>
    </row>
    <row r="14" spans="1:9">
      <c r="A14" t="s">
        <v>34</v>
      </c>
      <c r="B14" t="s">
        <v>59</v>
      </c>
      <c r="C14" t="s">
        <v>75</v>
      </c>
      <c r="D14" s="34">
        <v>42822</v>
      </c>
      <c r="E14">
        <v>1</v>
      </c>
      <c r="F14" s="35">
        <v>0</v>
      </c>
      <c r="G14">
        <v>1</v>
      </c>
      <c r="I14" t="s">
        <v>47</v>
      </c>
    </row>
    <row r="15" spans="1:9">
      <c r="A15" t="s">
        <v>37</v>
      </c>
      <c r="B15" t="s">
        <v>44</v>
      </c>
      <c r="C15" t="s">
        <v>28</v>
      </c>
      <c r="D15" s="34">
        <v>42823</v>
      </c>
      <c r="E15">
        <v>2</v>
      </c>
      <c r="F15" s="35">
        <v>0</v>
      </c>
      <c r="G15">
        <v>2</v>
      </c>
    </row>
    <row r="16" spans="1:9">
      <c r="A16" t="s">
        <v>38</v>
      </c>
      <c r="B16" t="s">
        <v>43</v>
      </c>
      <c r="C16" t="s">
        <v>74</v>
      </c>
      <c r="D16" s="34">
        <v>42792</v>
      </c>
      <c r="E16">
        <v>2</v>
      </c>
      <c r="F16" s="35">
        <v>0</v>
      </c>
      <c r="G16">
        <v>2</v>
      </c>
      <c r="I16" t="s">
        <v>65</v>
      </c>
    </row>
    <row r="17" spans="1:9">
      <c r="A17" t="s">
        <v>39</v>
      </c>
      <c r="B17" t="s">
        <v>24</v>
      </c>
      <c r="C17" t="s">
        <v>28</v>
      </c>
      <c r="D17" s="34">
        <v>42807</v>
      </c>
      <c r="E17">
        <v>5</v>
      </c>
      <c r="F17" s="35">
        <v>0.75</v>
      </c>
      <c r="G17">
        <v>5</v>
      </c>
      <c r="H17">
        <v>2</v>
      </c>
      <c r="I17" t="s">
        <v>61</v>
      </c>
    </row>
    <row r="18" spans="1:9">
      <c r="A18" t="s">
        <v>40</v>
      </c>
      <c r="B18" t="s">
        <v>48</v>
      </c>
      <c r="C18" t="s">
        <v>75</v>
      </c>
      <c r="D18" s="34">
        <v>42803</v>
      </c>
      <c r="E18">
        <v>2</v>
      </c>
      <c r="F18" s="35">
        <v>1</v>
      </c>
      <c r="G18">
        <v>1</v>
      </c>
      <c r="H18">
        <v>1</v>
      </c>
      <c r="I18" t="s">
        <v>81</v>
      </c>
    </row>
    <row r="19" spans="1:9">
      <c r="A19" t="s">
        <v>72</v>
      </c>
      <c r="B19" t="s">
        <v>49</v>
      </c>
      <c r="C19" t="s">
        <v>28</v>
      </c>
      <c r="D19" s="34">
        <v>42807</v>
      </c>
      <c r="E19">
        <v>1</v>
      </c>
      <c r="F19" s="35">
        <v>1</v>
      </c>
      <c r="G19">
        <v>1</v>
      </c>
      <c r="H19">
        <v>1</v>
      </c>
    </row>
    <row r="20" spans="1:9">
      <c r="A20" t="s">
        <v>41</v>
      </c>
      <c r="B20" t="s">
        <v>50</v>
      </c>
      <c r="C20" t="s">
        <v>75</v>
      </c>
      <c r="D20" s="34">
        <v>42841</v>
      </c>
      <c r="E20">
        <v>2</v>
      </c>
      <c r="F20" s="35">
        <v>0</v>
      </c>
      <c r="G20">
        <v>2</v>
      </c>
    </row>
    <row r="21" spans="1:9">
      <c r="A21" t="s">
        <v>45</v>
      </c>
      <c r="B21" t="s">
        <v>51</v>
      </c>
      <c r="C21" t="s">
        <v>75</v>
      </c>
      <c r="D21" s="34">
        <v>42841</v>
      </c>
      <c r="E21">
        <v>3</v>
      </c>
      <c r="F21" s="35">
        <v>0</v>
      </c>
      <c r="G21">
        <v>7</v>
      </c>
    </row>
    <row r="22" spans="1:9">
      <c r="A22" t="s">
        <v>60</v>
      </c>
      <c r="B22" t="s">
        <v>42</v>
      </c>
      <c r="C22" t="s">
        <v>75</v>
      </c>
      <c r="D22" s="34">
        <v>42740</v>
      </c>
      <c r="E22">
        <v>1</v>
      </c>
      <c r="F22" s="35">
        <v>1</v>
      </c>
      <c r="G22">
        <v>1</v>
      </c>
      <c r="H22">
        <v>1</v>
      </c>
    </row>
    <row r="23" spans="1:9">
      <c r="A23" s="49"/>
      <c r="B23" s="49"/>
      <c r="C23" s="49"/>
      <c r="D23" s="50"/>
      <c r="E23" s="49">
        <f>SUM(E2:E22)</f>
        <v>44</v>
      </c>
      <c r="F23" s="51"/>
      <c r="G23" s="49"/>
      <c r="H23" s="49"/>
      <c r="I23" s="49"/>
    </row>
    <row r="24" spans="1:9">
      <c r="E24" t="s">
        <v>80</v>
      </c>
    </row>
  </sheetData>
  <dataValidations count="1">
    <dataValidation type="list" allowBlank="1" showInputMessage="1" showErrorMessage="1" sqref="C2:C22">
      <formula1>"Corentin,Alexandre,Tous"</formula1>
    </dataValidation>
  </dataValidations>
  <pageMargins left="0.7" right="0.7" top="0.75" bottom="0.75" header="0.3" footer="0.3"/>
  <pageSetup paperSize="9" scale="61" orientation="landscape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4"/>
  <dimension ref="A1:D7"/>
  <sheetViews>
    <sheetView workbookViewId="0"/>
  </sheetViews>
  <sheetFormatPr baseColWidth="10" defaultRowHeight="15"/>
  <cols>
    <col min="1" max="1" width="2" bestFit="1" customWidth="1"/>
    <col min="2" max="2" width="2.7109375" bestFit="1" customWidth="1"/>
    <col min="3" max="3" width="4.28515625" customWidth="1"/>
    <col min="4" max="4" width="5.28515625" bestFit="1" customWidth="1"/>
  </cols>
  <sheetData>
    <row r="1" spans="1:4">
      <c r="A1">
        <v>1</v>
      </c>
      <c r="B1" t="s">
        <v>4</v>
      </c>
      <c r="D1" t="s">
        <v>11</v>
      </c>
    </row>
    <row r="2" spans="1:4">
      <c r="A2">
        <v>2</v>
      </c>
      <c r="B2" t="s">
        <v>5</v>
      </c>
      <c r="D2" t="s">
        <v>12</v>
      </c>
    </row>
    <row r="3" spans="1:4">
      <c r="A3">
        <v>3</v>
      </c>
      <c r="B3" t="s">
        <v>5</v>
      </c>
    </row>
    <row r="4" spans="1:4">
      <c r="A4">
        <v>4</v>
      </c>
      <c r="B4" t="s">
        <v>6</v>
      </c>
    </row>
    <row r="5" spans="1:4">
      <c r="A5">
        <v>5</v>
      </c>
      <c r="B5" t="s">
        <v>7</v>
      </c>
    </row>
    <row r="6" spans="1:4">
      <c r="A6">
        <v>6</v>
      </c>
      <c r="B6" t="s">
        <v>8</v>
      </c>
    </row>
    <row r="7" spans="1:4">
      <c r="A7">
        <v>7</v>
      </c>
      <c r="B7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Projet 1</vt:lpstr>
      <vt:lpstr>Suivi</vt:lpstr>
      <vt:lpstr>Table</vt:lpstr>
      <vt:lpstr>ouinon</vt:lpstr>
      <vt:lpstr>semaine</vt:lpstr>
      <vt:lpstr>'Projet 1'!Zone_d_impression</vt:lpstr>
      <vt:lpstr>Suivi!Zone_d_impression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Cédric Guérin</dc:creator>
  <cp:lastModifiedBy>Pascaline</cp:lastModifiedBy>
  <cp:lastPrinted>2017-01-17T15:45:09Z</cp:lastPrinted>
  <dcterms:created xsi:type="dcterms:W3CDTF">2013-05-27T13:57:34Z</dcterms:created>
  <dcterms:modified xsi:type="dcterms:W3CDTF">2017-04-15T11:23:55Z</dcterms:modified>
</cp:coreProperties>
</file>